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c6454b8fb7a181/Desktop/"/>
    </mc:Choice>
  </mc:AlternateContent>
  <xr:revisionPtr revIDLastSave="263" documentId="8_{44802B7B-3DDF-43F1-918D-3432E380F65C}" xr6:coauthVersionLast="47" xr6:coauthVersionMax="47" xr10:uidLastSave="{6A4E1450-1F4D-4135-8206-F08E5208020E}"/>
  <bookViews>
    <workbookView xWindow="-108" yWindow="-108" windowWidth="23256" windowHeight="12456" xr2:uid="{CEEFAB78-AA3E-4D74-89EF-96E7B293A3A6}"/>
  </bookViews>
  <sheets>
    <sheet name="محضر استلام" sheetId="1" r:id="rId1"/>
  </sheets>
  <definedNames>
    <definedName name="_xlnm.Print_Area" localSheetId="0">'محضر استلام'!$A$1:$L$33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1" l="1"/>
  <c r="F18" i="1"/>
  <c r="G17" i="1"/>
  <c r="G14" i="1"/>
  <c r="G13" i="1"/>
  <c r="G9" i="1"/>
  <c r="F14" i="1"/>
  <c r="F9" i="1"/>
  <c r="F10" i="1"/>
  <c r="F11" i="1"/>
  <c r="F12" i="1"/>
  <c r="F13" i="1"/>
  <c r="F15" i="1"/>
  <c r="F16" i="1"/>
  <c r="F17" i="1"/>
  <c r="I24" i="1"/>
  <c r="J24" i="1"/>
  <c r="K24" i="1"/>
  <c r="F24" i="1" l="1"/>
  <c r="K25" i="1" l="1"/>
  <c r="J25" i="1"/>
  <c r="I25" i="1"/>
  <c r="F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HUAWEI</author>
  </authors>
  <commentList>
    <comment ref="A8" authorId="0" shapeId="0" xr:uid="{73736C7A-D1B7-4F91-B18B-81F4FBF8300F}">
      <text>
        <r>
          <rPr>
            <b/>
            <sz val="9"/>
            <color indexed="81"/>
            <rFont val="Tahoma"/>
          </rPr>
          <t>HUAWEI:</t>
        </r>
        <r>
          <rPr>
            <sz val="9"/>
            <color indexed="81"/>
            <rFont val="Tahoma"/>
          </rPr>
          <t xml:space="preserve">
Source: WhatsApp Image 2026-10-03 at 9.50.50 AM.jpeg, uploaded 2026-10-03. Uploaded file (handwritten note, transcribed by Claude).</t>
        </r>
      </text>
    </comment>
  </commentList>
</comments>
</file>

<file path=xl/sharedStrings.xml><?xml version="1.0" encoding="utf-8"?>
<sst xmlns="http://schemas.openxmlformats.org/spreadsheetml/2006/main" count="62" uniqueCount="51">
  <si>
    <t>رقم المحضر:</t>
  </si>
  <si>
    <t>التاريخ:</t>
  </si>
  <si>
    <t>اسم المستودع:</t>
  </si>
  <si>
    <t>رقم أمر التوريد:</t>
  </si>
  <si>
    <t>المستلم:</t>
  </si>
  <si>
    <t>المشروع / الموقع:</t>
  </si>
  <si>
    <t>رقم السيارة / السائق:</t>
  </si>
  <si>
    <t>م</t>
  </si>
  <si>
    <t>نوع الرخام</t>
  </si>
  <si>
    <t>السماكة (سم)</t>
  </si>
  <si>
    <t>إجمالي الألواح المستلمة</t>
  </si>
  <si>
    <t>ألواح سليمة</t>
  </si>
  <si>
    <t>ألواح بها شرخ في جهة واحدة</t>
  </si>
  <si>
    <t>ألواح بها شرخ في جهتين</t>
  </si>
  <si>
    <t>ملاحظات</t>
  </si>
  <si>
    <t>الإجمالي</t>
  </si>
  <si>
    <t>النسبة من الإجمالي</t>
  </si>
  <si>
    <t>ملاحظات عامة:</t>
  </si>
  <si>
    <t>الاسم: ....................................</t>
  </si>
  <si>
    <t>التوقيع: ................................</t>
  </si>
  <si>
    <t>التاريخ: ....../....../........</t>
  </si>
  <si>
    <t>محضر استلام رخام من مستودع الرخام و تسليمه لمقاول القص والتركيب</t>
  </si>
  <si>
    <t>170 × 285</t>
  </si>
  <si>
    <t>173 × 292</t>
  </si>
  <si>
    <t>173 × 293</t>
  </si>
  <si>
    <t>173 × 275</t>
  </si>
  <si>
    <t>173 × 270</t>
  </si>
  <si>
    <t>173 × 265</t>
  </si>
  <si>
    <t>173 × 262</t>
  </si>
  <si>
    <t>مستودع مورد الرخام</t>
  </si>
  <si>
    <t>فيلا سكنية – الرياض</t>
  </si>
  <si>
    <t>المقاس الأصلي (سم)</t>
  </si>
  <si>
    <t>المقاس بعد قص الشرخ (سم)</t>
  </si>
  <si>
    <t>صورة</t>
  </si>
  <si>
    <t>سليم – بدون شروخ</t>
  </si>
  <si>
    <t>شرخ في الطرفين – حوالي 50 سم من كل طرف</t>
  </si>
  <si>
    <t>شرخ في طرف واحد – حوالي 52 سم</t>
  </si>
  <si>
    <t>شرخ في ركن طرف واحد – حوالي 56 سم</t>
  </si>
  <si>
    <t>كلكاتا ايطالى</t>
  </si>
  <si>
    <t>178 × 298</t>
  </si>
  <si>
    <t>179 × 298</t>
  </si>
  <si>
    <t>177 × 297</t>
  </si>
  <si>
    <t>190 × 310</t>
  </si>
  <si>
    <t>180 × 305</t>
  </si>
  <si>
    <t>إجمالي المجموعة</t>
  </si>
  <si>
    <t>المسلّم:</t>
  </si>
  <si>
    <t>مورد الرخام</t>
  </si>
  <si>
    <t>مقاول الرخام</t>
  </si>
  <si>
    <t>المسلّم – مورد الرخام</t>
  </si>
  <si>
    <t>المستلم – مقاول الرخام</t>
  </si>
  <si>
    <t>يعتمد (المشرف)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</si>
</sst>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#,##0;\(#,##0\);\-"/>
    <numFmt numFmtId="166" formatCode="0.0%;\(0.0%\);\-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</font>
    <font>
      <b/>
      <sz val="16"/>
      <color rgb="FFFFFFFF"/>
      <name val="Aptos Narrow"/>
      <family val="2"/>
      <scheme val="minor"/>
    </font>
    <font>
      <b/>
      <sz val="11"/>
      <color theme="1"/>
      <name val="Arial"/>
    </font>
    <font>
      <sz val="11"/>
      <color rgb="FF0000FF"/>
      <name val="Aptos Narrow"/>
      <family val="2"/>
      <scheme val="minor"/>
    </font>
    <font>
      <b/>
      <sz val="11"/>
      <color rgb="FFFFFFFF"/>
      <name val="Arial"/>
    </font>
    <font>
      <sz val="11"/>
      <color rgb="FF0000FF"/>
      <name val="Arial"/>
    </font>
    <font>
      <sz val="9"/>
      <color indexed="81"/>
      <name val="Tahoma"/>
    </font>
    <font>
      <b/>
      <sz val="9"/>
      <color indexed="81"/>
      <name val="Tahoma"/>
    </font>
    <font>
      <sz val="11"/>
      <color rgb="FF000000"/>
      <name val="Arial"/>
    </font>
    <font>
      <b/>
      <sz val="11"/>
      <color rgb="FF000000"/>
      <name val="Arial"/>
    </font>
    <font>
      <sz val="10"/>
      <color rgb="FF0000FF"/>
      <name val="Arial"/>
    </font>
    <font>
      <b/>
      <sz val="11"/>
      <color rgb="FF0000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C0E6F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auto="1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  <border>
      <left style="medium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/>
      <bottom style="medium">
        <color rgb="FF808080"/>
      </bottom>
      <diagonal/>
    </border>
    <border>
      <left style="medium">
        <color rgb="FF808080"/>
      </left>
      <right/>
      <top/>
      <bottom style="thin">
        <color rgb="FF808080"/>
      </bottom>
      <diagonal/>
    </border>
    <border>
      <left style="medium">
        <color rgb="FF808080"/>
      </left>
      <right/>
      <top style="thin">
        <color rgb="FF808080"/>
      </top>
      <bottom/>
      <diagonal/>
    </border>
    <border>
      <left style="medium">
        <color rgb="FF808080"/>
      </left>
      <right/>
      <top style="thin">
        <color rgb="FF808080"/>
      </top>
      <bottom style="medium">
        <color rgb="FF808080"/>
      </bottom>
      <diagonal/>
    </border>
    <border>
      <left/>
      <right style="thin">
        <color rgb="FF808080"/>
      </right>
      <top style="thin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3" borderId="0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1" fillId="3" borderId="21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22" xfId="0" applyBorder="1" applyAlignment="1">
      <alignment horizontal="right"/>
    </xf>
    <xf numFmtId="0" fontId="1" fillId="3" borderId="23" xfId="0" applyFont="1" applyFill="1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24" xfId="0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166" fontId="4" fillId="7" borderId="16" xfId="0" applyNumberFormat="1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165" fontId="7" fillId="0" borderId="11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5" fontId="4" fillId="9" borderId="27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165" fontId="4" fillId="12" borderId="11" xfId="0" applyNumberFormat="1" applyFont="1" applyFill="1" applyBorder="1" applyAlignment="1">
      <alignment horizontal="center" vertical="center" wrapText="1"/>
    </xf>
    <xf numFmtId="0" fontId="7" fillId="14" borderId="11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165" fontId="4" fillId="10" borderId="11" xfId="0" applyNumberFormat="1" applyFont="1" applyFill="1" applyBorder="1" applyAlignment="1">
      <alignment horizontal="center" vertical="center" wrapText="1"/>
    </xf>
    <xf numFmtId="165" fontId="7" fillId="0" borderId="25" xfId="0" applyNumberFormat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165" fontId="11" fillId="9" borderId="11" xfId="0" applyNumberFormat="1" applyFont="1" applyFill="1" applyBorder="1" applyAlignment="1">
      <alignment horizontal="center" vertical="center" wrapText="1"/>
    </xf>
    <xf numFmtId="165" fontId="11" fillId="9" borderId="27" xfId="0" applyNumberFormat="1" applyFont="1" applyFill="1" applyBorder="1" applyAlignment="1">
      <alignment horizontal="center" vertical="center" wrapText="1"/>
    </xf>
    <xf numFmtId="165" fontId="11" fillId="12" borderId="11" xfId="0" applyNumberFormat="1" applyFont="1" applyFill="1" applyBorder="1" applyAlignment="1">
      <alignment horizontal="center" vertical="center" wrapText="1"/>
    </xf>
    <xf numFmtId="165" fontId="11" fillId="11" borderId="11" xfId="0" applyNumberFormat="1" applyFont="1" applyFill="1" applyBorder="1" applyAlignment="1">
      <alignment horizontal="center" vertical="center" wrapText="1"/>
    </xf>
    <xf numFmtId="165" fontId="11" fillId="10" borderId="11" xfId="0" applyNumberFormat="1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1" fontId="7" fillId="0" borderId="25" xfId="0" applyNumberFormat="1" applyFont="1" applyBorder="1" applyAlignment="1">
      <alignment horizontal="center" vertical="center" wrapText="1" readingOrder="2"/>
    </xf>
    <xf numFmtId="1" fontId="7" fillId="0" borderId="27" xfId="0" applyNumberFormat="1" applyFont="1" applyBorder="1" applyAlignment="1">
      <alignment horizontal="center" vertical="center" wrapText="1" readingOrder="2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 vertical="center" wrapText="1" readingOrder="2"/>
    </xf>
    <xf numFmtId="165" fontId="11" fillId="9" borderId="11" xfId="0" applyNumberFormat="1" applyFont="1" applyFill="1" applyBorder="1" applyAlignment="1">
      <alignment horizontal="center" vertical="center" wrapText="1"/>
    </xf>
    <xf numFmtId="165" fontId="4" fillId="9" borderId="11" xfId="0" applyNumberFormat="1" applyFont="1" applyFill="1" applyBorder="1" applyAlignment="1">
      <alignment horizontal="center" vertical="center" wrapText="1"/>
    </xf>
    <xf numFmtId="165" fontId="11" fillId="11" borderId="11" xfId="0" applyNumberFormat="1" applyFont="1" applyFill="1" applyBorder="1" applyAlignment="1">
      <alignment horizontal="center" vertical="center" wrapText="1"/>
    </xf>
    <xf numFmtId="165" fontId="4" fillId="11" borderId="11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165" fontId="11" fillId="13" borderId="11" xfId="0" applyNumberFormat="1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165" fontId="7" fillId="0" borderId="11" xfId="0" applyNumberFormat="1" applyFont="1" applyFill="1" applyBorder="1" applyAlignment="1">
      <alignment horizontal="center" vertical="center" wrapText="1"/>
    </xf>
    <xf numFmtId="165" fontId="11" fillId="7" borderId="11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165" fontId="11" fillId="9" borderId="27" xfId="0" applyNumberFormat="1" applyFont="1" applyFill="1" applyBorder="1" applyAlignment="1">
      <alignment horizontal="center" vertical="center" wrapText="1"/>
    </xf>
    <xf numFmtId="165" fontId="7" fillId="0" borderId="27" xfId="0" applyNumberFormat="1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165" fontId="11" fillId="7" borderId="25" xfId="0" applyNumberFormat="1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165" fontId="4" fillId="8" borderId="27" xfId="0" applyNumberFormat="1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" fontId="7" fillId="0" borderId="16" xfId="0" applyNumberFormat="1" applyFont="1" applyBorder="1" applyAlignment="1">
      <alignment horizontal="center" vertical="center" wrapText="1" readingOrder="2"/>
    </xf>
    <xf numFmtId="165" fontId="11" fillId="7" borderId="16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65" fontId="7" fillId="0" borderId="16" xfId="0" applyNumberFormat="1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12" xfId="0" applyBorder="1" applyAlignment="1">
      <alignment horizontal="right" vertical="top" wrapText="1"/>
    </xf>
    <xf numFmtId="0" fontId="0" fillId="0" borderId="13" xfId="0" applyBorder="1" applyAlignment="1">
      <alignment horizontal="right" vertical="top" wrapText="1"/>
    </xf>
    <xf numFmtId="0" fontId="13" fillId="0" borderId="31" xfId="0" applyFont="1" applyBorder="1" applyAlignment="1">
      <alignment horizontal="center" vertical="top" wrapText="1"/>
    </xf>
    <xf numFmtId="0" fontId="13" fillId="0" borderId="26" xfId="0" applyFont="1" applyBorder="1" applyAlignment="1">
      <alignment horizontal="center" vertical="top" wrapText="1"/>
    </xf>
    <xf numFmtId="0" fontId="10" fillId="0" borderId="35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top" wrapText="1"/>
    </xf>
    <xf numFmtId="0" fontId="13" fillId="0" borderId="25" xfId="0" applyFont="1" applyBorder="1" applyAlignment="1">
      <alignment horizontal="center" vertical="top" wrapText="1"/>
    </xf>
    <xf numFmtId="0" fontId="10" fillId="0" borderId="30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5D6CD6-8FD5-4758-AE25-9562A628D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103093</xdr:colOff>
      <xdr:row>8</xdr:row>
      <xdr:rowOff>43030</xdr:rowOff>
    </xdr:from>
    <xdr:to>
      <xdr:col>7</xdr:col>
      <xdr:colOff>1406113</xdr:colOff>
      <xdr:row>11</xdr:row>
      <xdr:rowOff>199581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2852C3-7FE1-1A20-57FB-068A6B47BE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5903770" y="2490395"/>
          <a:ext cx="1303020" cy="990268"/>
        </a:xfrm>
        <a:prstGeom prst="rect">
          <a:avLst/>
        </a:prstGeom>
      </xdr:spPr>
    </xdr:pic>
    <xdr:clientData/>
  </xdr:twoCellAnchor>
  <xdr:twoCellAnchor editAs="oneCell">
    <xdr:from>
      <xdr:col>7</xdr:col>
      <xdr:colOff>32905</xdr:colOff>
      <xdr:row>12</xdr:row>
      <xdr:rowOff>121024</xdr:rowOff>
    </xdr:from>
    <xdr:to>
      <xdr:col>7</xdr:col>
      <xdr:colOff>1494421</xdr:colOff>
      <xdr:row>12</xdr:row>
      <xdr:rowOff>1081143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507FD3-F9CA-E751-4F94-7EC2B62BD4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5815462" y="3680012"/>
          <a:ext cx="1461516" cy="960119"/>
        </a:xfrm>
        <a:prstGeom prst="rect">
          <a:avLst/>
        </a:prstGeom>
      </xdr:spPr>
    </xdr:pic>
    <xdr:clientData/>
  </xdr:twoCellAnchor>
  <xdr:twoCellAnchor editAs="oneCell">
    <xdr:from>
      <xdr:col>7</xdr:col>
      <xdr:colOff>33618</xdr:colOff>
      <xdr:row>13</xdr:row>
      <xdr:rowOff>100724</xdr:rowOff>
    </xdr:from>
    <xdr:to>
      <xdr:col>7</xdr:col>
      <xdr:colOff>1550364</xdr:colOff>
      <xdr:row>15</xdr:row>
      <xdr:rowOff>316256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528222-3CD2-F6CC-542B-2B4085F772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5759519" y="4852018"/>
          <a:ext cx="1516746" cy="1040285"/>
        </a:xfrm>
        <a:prstGeom prst="rect">
          <a:avLst/>
        </a:prstGeom>
      </xdr:spPr>
    </xdr:pic>
    <xdr:clientData/>
  </xdr:twoCellAnchor>
  <xdr:twoCellAnchor editAs="oneCell">
    <xdr:from>
      <xdr:col>7</xdr:col>
      <xdr:colOff>107577</xdr:colOff>
      <xdr:row>16</xdr:row>
      <xdr:rowOff>41160</xdr:rowOff>
    </xdr:from>
    <xdr:to>
      <xdr:col>7</xdr:col>
      <xdr:colOff>1449078</xdr:colOff>
      <xdr:row>16</xdr:row>
      <xdr:rowOff>1039905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4C7DD9-3314-E730-E913-E39870FB7B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85860805" y="6029584"/>
          <a:ext cx="1341501" cy="998745"/>
        </a:xfrm>
        <a:prstGeom prst="rect">
          <a:avLst/>
        </a:prstGeom>
      </xdr:spPr>
    </xdr:pic>
    <xdr:clientData/>
  </xdr:twoCellAnchor>
  <xdr:twoCellAnchor editAs="oneCell">
    <xdr:from>
      <xdr:col>1</xdr:col>
      <xdr:colOff>97624</xdr:colOff>
      <xdr:row>14</xdr:row>
      <xdr:rowOff>297178</xdr:rowOff>
    </xdr:from>
    <xdr:to>
      <xdr:col>1</xdr:col>
      <xdr:colOff>2466784</xdr:colOff>
      <xdr:row>16</xdr:row>
      <xdr:rowOff>665016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5DE8AC-3B50-B8F7-D6E3-65FB66F2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93227544" y="5464923"/>
          <a:ext cx="2369160" cy="1199111"/>
        </a:xfrm>
        <a:prstGeom prst="rect">
          <a:avLst/>
        </a:prstGeom>
      </xdr:spPr>
    </xdr:pic>
    <xdr:clientData/>
  </xdr:twoCellAnchor>
  <xdr:twoCellAnchor editAs="oneCell">
    <xdr:from>
      <xdr:col>1</xdr:col>
      <xdr:colOff>429493</xdr:colOff>
      <xdr:row>19</xdr:row>
      <xdr:rowOff>75542</xdr:rowOff>
    </xdr:from>
    <xdr:to>
      <xdr:col>1</xdr:col>
      <xdr:colOff>1885182</xdr:colOff>
      <xdr:row>22</xdr:row>
      <xdr:rowOff>402446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8EE2B6-803C-704A-DB82-A4C0B42DE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93809146" y="7737106"/>
          <a:ext cx="1455689" cy="115817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3B89EA-0B64-41CB-8F84-A9F53776EF4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50741c6-1814-43a0-9b49-454c711d02e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0040-76B7-4ECD-8DBC-3A75A98395C5}">
  <sheetPr>
    <pageSetUpPr fitToPage="1"/>
  </sheetPr>
  <dimension ref="A1:L33"/>
  <sheetViews>
    <sheetView showGridLines="0" rightToLeft="1" tabSelected="1" topLeftCell="A13" zoomScale="55" zoomScaleNormal="55" workbookViewId="0">
      <selection activeCell="J13" sqref="I13:J13"/>
    </sheetView>
  </sheetViews>
  <sheetFormatPr defaultRowHeight="14.4" x14ac:dyDescent="0.3"/>
  <cols>
    <col min="1" max="1" width="6.44140625" style="1" customWidth="1"/>
    <col min="2" max="2" width="36.88671875" style="1" customWidth="1"/>
    <col min="3" max="3" width="15.77734375" style="1" customWidth="1"/>
    <col min="4" max="4" width="20.33203125" style="1" customWidth="1"/>
    <col min="5" max="5" width="13.88671875" style="1" customWidth="1"/>
    <col min="6" max="7" width="17.5546875" style="1" customWidth="1"/>
    <col min="8" max="8" width="23.33203125" style="1" customWidth="1"/>
    <col min="9" max="9" width="10.77734375" style="1" customWidth="1"/>
    <col min="10" max="10" width="11.88671875" style="1" customWidth="1"/>
    <col min="11" max="11" width="18.5546875" style="1" customWidth="1"/>
    <col min="12" max="12" width="17.5546875" style="1" customWidth="1"/>
  </cols>
  <sheetData>
    <row r="1" spans="1:12" ht="34.049999999999997" customHeight="1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ht="22.05" customHeight="1" x14ac:dyDescent="0.3">
      <c r="A3" s="5" t="s">
        <v>0</v>
      </c>
      <c r="B3" s="5"/>
      <c r="C3" s="19"/>
      <c r="D3" s="6"/>
      <c r="E3" s="6"/>
      <c r="F3" s="6"/>
      <c r="G3" s="21"/>
      <c r="H3" s="21"/>
      <c r="I3" s="5" t="s">
        <v>1</v>
      </c>
      <c r="J3" s="5"/>
      <c r="K3" s="9">
        <v>46122</v>
      </c>
      <c r="L3" s="6"/>
    </row>
    <row r="4" spans="1:12" ht="22.05" customHeight="1" x14ac:dyDescent="0.3">
      <c r="A4" s="5" t="s">
        <v>2</v>
      </c>
      <c r="B4" s="5"/>
      <c r="C4" s="19"/>
      <c r="D4" s="7" t="s">
        <v>29</v>
      </c>
      <c r="E4" s="7"/>
      <c r="F4" s="7"/>
      <c r="G4" s="21"/>
      <c r="H4" s="21"/>
      <c r="I4" s="5" t="s">
        <v>3</v>
      </c>
      <c r="J4" s="5"/>
      <c r="K4" s="7"/>
      <c r="L4" s="7"/>
    </row>
    <row r="5" spans="1:12" ht="22.05" customHeight="1" x14ac:dyDescent="0.3">
      <c r="A5" s="5" t="s">
        <v>45</v>
      </c>
      <c r="B5" s="5"/>
      <c r="C5" s="19"/>
      <c r="D5" s="7" t="s">
        <v>46</v>
      </c>
      <c r="E5" s="7"/>
      <c r="F5" s="7"/>
      <c r="G5" s="21"/>
      <c r="H5" s="21"/>
      <c r="I5" s="5" t="s">
        <v>4</v>
      </c>
      <c r="J5" s="5"/>
      <c r="K5" s="7" t="s">
        <v>47</v>
      </c>
      <c r="L5" s="7"/>
    </row>
    <row r="6" spans="1:12" ht="22.05" customHeight="1" x14ac:dyDescent="0.3">
      <c r="A6" s="8" t="s">
        <v>5</v>
      </c>
      <c r="B6" s="8"/>
      <c r="C6" s="20"/>
      <c r="D6" s="7" t="s">
        <v>30</v>
      </c>
      <c r="E6" s="7"/>
      <c r="F6" s="7"/>
      <c r="G6" s="21"/>
      <c r="H6" s="21"/>
      <c r="I6" s="8" t="s">
        <v>6</v>
      </c>
      <c r="J6" s="8"/>
      <c r="K6" s="7"/>
      <c r="L6" s="7"/>
    </row>
    <row r="7" spans="1:12" ht="15" thickBot="1" x14ac:dyDescent="0.35"/>
    <row r="8" spans="1:12" ht="42" customHeight="1" thickBot="1" x14ac:dyDescent="0.35">
      <c r="A8" s="70" t="s">
        <v>7</v>
      </c>
      <c r="B8" s="22" t="s">
        <v>8</v>
      </c>
      <c r="C8" s="71" t="s">
        <v>31</v>
      </c>
      <c r="D8" s="71" t="s">
        <v>32</v>
      </c>
      <c r="E8" s="71" t="s">
        <v>9</v>
      </c>
      <c r="F8" s="71" t="s">
        <v>10</v>
      </c>
      <c r="G8" s="71" t="s">
        <v>44</v>
      </c>
      <c r="H8" s="71" t="s">
        <v>33</v>
      </c>
      <c r="I8" s="72" t="s">
        <v>11</v>
      </c>
      <c r="J8" s="73" t="s">
        <v>12</v>
      </c>
      <c r="K8" s="74" t="s">
        <v>13</v>
      </c>
      <c r="L8" s="75" t="s">
        <v>14</v>
      </c>
    </row>
    <row r="9" spans="1:12" ht="22.05" customHeight="1" x14ac:dyDescent="0.3">
      <c r="A9" s="95">
        <v>1</v>
      </c>
      <c r="B9" s="93" t="s">
        <v>38</v>
      </c>
      <c r="C9" s="30" t="s">
        <v>39</v>
      </c>
      <c r="D9" s="67" t="s">
        <v>22</v>
      </c>
      <c r="E9" s="49">
        <v>2</v>
      </c>
      <c r="F9" s="68">
        <f>IF(COUNT(I9:K9)=0,"",SUM(I9:K9))</f>
        <v>4</v>
      </c>
      <c r="G9" s="43">
        <f>SUM(F9:F12)</f>
        <v>36</v>
      </c>
      <c r="H9" s="31"/>
      <c r="I9" s="69">
        <v>4</v>
      </c>
      <c r="J9" s="69"/>
      <c r="K9" s="69"/>
      <c r="L9" s="51" t="s">
        <v>34</v>
      </c>
    </row>
    <row r="10" spans="1:12" ht="22.05" customHeight="1" x14ac:dyDescent="0.3">
      <c r="A10" s="47">
        <v>2</v>
      </c>
      <c r="B10" s="94"/>
      <c r="C10" s="53"/>
      <c r="D10" s="28" t="s">
        <v>23</v>
      </c>
      <c r="E10" s="54"/>
      <c r="F10" s="42">
        <f>IF(COUNT(I10:K10)=0,"",SUM(I10:K10))</f>
        <v>20</v>
      </c>
      <c r="G10" s="55"/>
      <c r="H10" s="56"/>
      <c r="I10" s="29">
        <v>20</v>
      </c>
      <c r="J10" s="29"/>
      <c r="K10" s="29"/>
      <c r="L10" s="66"/>
    </row>
    <row r="11" spans="1:12" ht="22.05" customHeight="1" x14ac:dyDescent="0.3">
      <c r="A11" s="47">
        <v>3</v>
      </c>
      <c r="B11" s="94"/>
      <c r="C11" s="53"/>
      <c r="D11" s="28" t="s">
        <v>24</v>
      </c>
      <c r="E11" s="54"/>
      <c r="F11" s="42">
        <f>IF(COUNT(I11:K11)=0,"",SUM(I11:K11))</f>
        <v>8</v>
      </c>
      <c r="G11" s="55"/>
      <c r="H11" s="56"/>
      <c r="I11" s="29">
        <v>8</v>
      </c>
      <c r="J11" s="29"/>
      <c r="K11" s="29"/>
      <c r="L11" s="66"/>
    </row>
    <row r="12" spans="1:12" ht="22.05" customHeight="1" x14ac:dyDescent="0.3">
      <c r="A12" s="47">
        <v>4</v>
      </c>
      <c r="B12" s="94"/>
      <c r="C12" s="53"/>
      <c r="D12" s="28" t="s">
        <v>25</v>
      </c>
      <c r="E12" s="54"/>
      <c r="F12" s="42">
        <f>IF(COUNT(I12:K12)=0,"",SUM(I12:K12))</f>
        <v>4</v>
      </c>
      <c r="G12" s="55"/>
      <c r="H12" s="56"/>
      <c r="I12" s="29">
        <v>4</v>
      </c>
      <c r="J12" s="29"/>
      <c r="K12" s="29"/>
      <c r="L12" s="66"/>
    </row>
    <row r="13" spans="1:12" ht="94.2" customHeight="1" x14ac:dyDescent="0.3">
      <c r="A13" s="47">
        <v>5</v>
      </c>
      <c r="B13" s="94"/>
      <c r="C13" s="32" t="s">
        <v>40</v>
      </c>
      <c r="D13" s="33" t="s">
        <v>26</v>
      </c>
      <c r="E13" s="54"/>
      <c r="F13" s="44">
        <f>IF(COUNT(I13:K13)=0,"",SUM(I13:K13))</f>
        <v>1</v>
      </c>
      <c r="G13" s="44">
        <f>F13</f>
        <v>1</v>
      </c>
      <c r="H13" s="34"/>
      <c r="I13" s="29"/>
      <c r="J13" s="29"/>
      <c r="K13" s="29">
        <v>1</v>
      </c>
      <c r="L13" s="52" t="s">
        <v>35</v>
      </c>
    </row>
    <row r="14" spans="1:12" ht="32.4" customHeight="1" x14ac:dyDescent="0.3">
      <c r="A14" s="47">
        <v>6</v>
      </c>
      <c r="B14" s="94"/>
      <c r="C14" s="53" t="s">
        <v>40</v>
      </c>
      <c r="D14" s="35" t="s">
        <v>26</v>
      </c>
      <c r="E14" s="54"/>
      <c r="F14" s="45">
        <f>IF(COUNT(I14:K14)=0,"",SUM(I14:K14))</f>
        <v>9</v>
      </c>
      <c r="G14" s="57">
        <f>SUM(F14:F16)</f>
        <v>25</v>
      </c>
      <c r="H14" s="58"/>
      <c r="I14" s="29"/>
      <c r="J14" s="29">
        <v>9</v>
      </c>
      <c r="K14" s="29"/>
      <c r="L14" s="66" t="s">
        <v>36</v>
      </c>
    </row>
    <row r="15" spans="1:12" ht="32.4" customHeight="1" x14ac:dyDescent="0.3">
      <c r="A15" s="47">
        <v>7</v>
      </c>
      <c r="B15" s="94"/>
      <c r="C15" s="53"/>
      <c r="D15" s="36" t="s">
        <v>25</v>
      </c>
      <c r="E15" s="54"/>
      <c r="F15" s="45">
        <f>IF(COUNT(I15:K15)=0,"",SUM(I15:K15))</f>
        <v>6</v>
      </c>
      <c r="G15" s="57"/>
      <c r="H15" s="58"/>
      <c r="I15" s="29"/>
      <c r="J15" s="29">
        <v>6</v>
      </c>
      <c r="K15" s="29"/>
      <c r="L15" s="66"/>
    </row>
    <row r="16" spans="1:12" ht="32.4" customHeight="1" x14ac:dyDescent="0.3">
      <c r="A16" s="47">
        <v>8</v>
      </c>
      <c r="B16" s="94"/>
      <c r="C16" s="53"/>
      <c r="D16" s="36" t="s">
        <v>27</v>
      </c>
      <c r="E16" s="54"/>
      <c r="F16" s="45">
        <f>IF(COUNT(I16:K16)=0,"",SUM(I16:K16))</f>
        <v>10</v>
      </c>
      <c r="G16" s="57"/>
      <c r="H16" s="58"/>
      <c r="I16" s="29"/>
      <c r="J16" s="29">
        <v>10</v>
      </c>
      <c r="K16" s="29"/>
      <c r="L16" s="66"/>
    </row>
    <row r="17" spans="1:12" ht="87" customHeight="1" x14ac:dyDescent="0.3">
      <c r="A17" s="47">
        <v>9</v>
      </c>
      <c r="B17" s="94"/>
      <c r="C17" s="32" t="s">
        <v>41</v>
      </c>
      <c r="D17" s="37" t="s">
        <v>28</v>
      </c>
      <c r="E17" s="54"/>
      <c r="F17" s="46">
        <f>IF(COUNT(I17:K17)=0,"",SUM(I17:K17))</f>
        <v>10</v>
      </c>
      <c r="G17" s="46">
        <f>F17</f>
        <v>10</v>
      </c>
      <c r="H17" s="38"/>
      <c r="I17" s="29"/>
      <c r="J17" s="29">
        <v>10</v>
      </c>
      <c r="K17" s="29"/>
      <c r="L17" s="52" t="s">
        <v>37</v>
      </c>
    </row>
    <row r="18" spans="1:12" ht="22.05" customHeight="1" x14ac:dyDescent="0.3">
      <c r="A18" s="98">
        <v>10</v>
      </c>
      <c r="B18" s="97" t="s">
        <v>38</v>
      </c>
      <c r="C18" s="101" t="s">
        <v>42</v>
      </c>
      <c r="D18" s="60" t="s">
        <v>43</v>
      </c>
      <c r="E18" s="54">
        <v>2</v>
      </c>
      <c r="F18" s="61">
        <f>IF(COUNT(I18:K18)=0,"",SUM(I18:K18))</f>
        <v>11</v>
      </c>
      <c r="G18" s="61">
        <f>F18</f>
        <v>11</v>
      </c>
      <c r="H18" s="62"/>
      <c r="I18" s="63">
        <v>11</v>
      </c>
      <c r="J18" s="59"/>
      <c r="K18" s="59"/>
      <c r="L18" s="66" t="s">
        <v>34</v>
      </c>
    </row>
    <row r="19" spans="1:12" ht="22.05" customHeight="1" x14ac:dyDescent="0.3">
      <c r="A19" s="98"/>
      <c r="B19" s="94"/>
      <c r="C19" s="53"/>
      <c r="D19" s="59"/>
      <c r="E19" s="54"/>
      <c r="F19" s="64"/>
      <c r="G19" s="64"/>
      <c r="H19" s="65"/>
      <c r="I19" s="63"/>
      <c r="J19" s="59"/>
      <c r="K19" s="59"/>
      <c r="L19" s="66"/>
    </row>
    <row r="20" spans="1:12" ht="22.05" customHeight="1" x14ac:dyDescent="0.3">
      <c r="A20" s="98"/>
      <c r="B20" s="94"/>
      <c r="C20" s="53"/>
      <c r="D20" s="59"/>
      <c r="E20" s="54"/>
      <c r="F20" s="64"/>
      <c r="G20" s="64"/>
      <c r="H20" s="65"/>
      <c r="I20" s="63"/>
      <c r="J20" s="59"/>
      <c r="K20" s="59"/>
      <c r="L20" s="66"/>
    </row>
    <row r="21" spans="1:12" ht="22.05" customHeight="1" x14ac:dyDescent="0.3">
      <c r="A21" s="98"/>
      <c r="B21" s="94"/>
      <c r="C21" s="53"/>
      <c r="D21" s="59"/>
      <c r="E21" s="54"/>
      <c r="F21" s="64"/>
      <c r="G21" s="64"/>
      <c r="H21" s="65"/>
      <c r="I21" s="63"/>
      <c r="J21" s="59"/>
      <c r="K21" s="59"/>
      <c r="L21" s="66"/>
    </row>
    <row r="22" spans="1:12" ht="22.05" customHeight="1" x14ac:dyDescent="0.3">
      <c r="A22" s="99"/>
      <c r="B22" s="94"/>
      <c r="C22" s="27"/>
      <c r="D22" s="41"/>
      <c r="E22" s="48"/>
      <c r="F22" s="76"/>
      <c r="G22" s="76"/>
      <c r="H22" s="40"/>
      <c r="I22" s="39"/>
      <c r="J22" s="41"/>
      <c r="K22" s="41"/>
      <c r="L22" s="50"/>
    </row>
    <row r="23" spans="1:12" ht="39" customHeight="1" thickBot="1" x14ac:dyDescent="0.35">
      <c r="A23" s="100"/>
      <c r="B23" s="96"/>
      <c r="C23" s="102"/>
      <c r="D23" s="81"/>
      <c r="E23" s="82"/>
      <c r="F23" s="83"/>
      <c r="G23" s="83"/>
      <c r="H23" s="84"/>
      <c r="I23" s="85"/>
      <c r="J23" s="81"/>
      <c r="K23" s="81"/>
      <c r="L23" s="86"/>
    </row>
    <row r="24" spans="1:12" ht="24" customHeight="1" x14ac:dyDescent="0.3">
      <c r="A24" s="77" t="s">
        <v>15</v>
      </c>
      <c r="B24" s="78"/>
      <c r="C24" s="78"/>
      <c r="D24" s="78"/>
      <c r="E24" s="78"/>
      <c r="F24" s="79">
        <f>SUM(F9:F23)</f>
        <v>83</v>
      </c>
      <c r="G24" s="79"/>
      <c r="H24" s="79"/>
      <c r="I24" s="79">
        <f>SUM(I9:I23)</f>
        <v>47</v>
      </c>
      <c r="J24" s="79">
        <f>SUM(J9:J23)</f>
        <v>35</v>
      </c>
      <c r="K24" s="79">
        <f>SUM(K9:K23)</f>
        <v>1</v>
      </c>
      <c r="L24" s="80"/>
    </row>
    <row r="25" spans="1:12" ht="24" customHeight="1" thickBot="1" x14ac:dyDescent="0.35">
      <c r="A25" s="23" t="s">
        <v>16</v>
      </c>
      <c r="B25" s="24"/>
      <c r="C25" s="24"/>
      <c r="D25" s="24"/>
      <c r="E25" s="24"/>
      <c r="F25" s="25">
        <f>IF($F$24=0,"",F24/$F$24)</f>
        <v>1</v>
      </c>
      <c r="G25" s="25"/>
      <c r="H25" s="25"/>
      <c r="I25" s="25">
        <f>IF($F$24=0,"",I24/$F$24)</f>
        <v>0.5662650602409639</v>
      </c>
      <c r="J25" s="25">
        <f>IF($F$24=0,"",J24/$F$24)</f>
        <v>0.42168674698795183</v>
      </c>
      <c r="K25" s="25">
        <f>IF($F$24=0,"",K24/$F$24)</f>
        <v>1.2048192771084338E-2</v>
      </c>
      <c r="L25" s="26"/>
    </row>
    <row r="26" spans="1:12" x14ac:dyDescent="0.3">
      <c r="A26"/>
      <c r="B26"/>
      <c r="C26"/>
      <c r="D26"/>
    </row>
    <row r="27" spans="1:12" ht="24" customHeight="1" x14ac:dyDescent="0.3">
      <c r="A27" s="4" t="s">
        <v>17</v>
      </c>
      <c r="B27" s="2"/>
      <c r="C27"/>
      <c r="D27" s="89"/>
      <c r="E27" s="87"/>
      <c r="F27" s="87"/>
      <c r="G27" s="87"/>
      <c r="H27" s="87"/>
      <c r="I27" s="87"/>
      <c r="J27" s="87"/>
      <c r="K27" s="87"/>
      <c r="L27" s="91"/>
    </row>
    <row r="28" spans="1:12" ht="24" customHeight="1" x14ac:dyDescent="0.3">
      <c r="D28" s="90"/>
      <c r="E28" s="88"/>
      <c r="F28" s="88"/>
      <c r="G28" s="88"/>
      <c r="H28" s="88"/>
      <c r="I28" s="88"/>
      <c r="J28" s="88"/>
      <c r="K28" s="88"/>
      <c r="L28" s="92"/>
    </row>
    <row r="30" spans="1:12" ht="25.95" customHeight="1" x14ac:dyDescent="0.3">
      <c r="A30" s="13" t="s">
        <v>48</v>
      </c>
      <c r="B30" s="10"/>
      <c r="C30" s="10"/>
      <c r="D30" s="10"/>
      <c r="E30" s="13" t="s">
        <v>49</v>
      </c>
      <c r="F30" s="10"/>
      <c r="G30" s="10"/>
      <c r="H30" s="10"/>
      <c r="I30" s="10"/>
      <c r="J30" s="13" t="s">
        <v>50</v>
      </c>
      <c r="K30" s="10"/>
      <c r="L30" s="16"/>
    </row>
    <row r="31" spans="1:12" ht="25.95" customHeight="1" x14ac:dyDescent="0.3">
      <c r="A31" s="14" t="s">
        <v>18</v>
      </c>
      <c r="B31" s="11"/>
      <c r="C31" s="11"/>
      <c r="D31" s="11"/>
      <c r="E31" s="14" t="s">
        <v>18</v>
      </c>
      <c r="F31" s="11"/>
      <c r="G31" s="11"/>
      <c r="H31" s="11"/>
      <c r="I31" s="11"/>
      <c r="J31" s="14" t="s">
        <v>18</v>
      </c>
      <c r="K31" s="11"/>
      <c r="L31" s="17"/>
    </row>
    <row r="32" spans="1:12" ht="25.95" customHeight="1" x14ac:dyDescent="0.3">
      <c r="A32" s="14" t="s">
        <v>19</v>
      </c>
      <c r="B32" s="11"/>
      <c r="C32" s="11"/>
      <c r="D32" s="11"/>
      <c r="E32" s="14" t="s">
        <v>19</v>
      </c>
      <c r="F32" s="11"/>
      <c r="G32" s="11"/>
      <c r="H32" s="11"/>
      <c r="I32" s="11"/>
      <c r="J32" s="14" t="s">
        <v>19</v>
      </c>
      <c r="K32" s="11"/>
      <c r="L32" s="17"/>
    </row>
    <row r="33" spans="1:12" ht="40.799999999999997" customHeight="1" x14ac:dyDescent="0.3">
      <c r="A33" s="15" t="s">
        <v>20</v>
      </c>
      <c r="B33" s="12"/>
      <c r="C33" s="12"/>
      <c r="D33" s="12"/>
      <c r="E33" s="15" t="s">
        <v>20</v>
      </c>
      <c r="F33" s="12"/>
      <c r="G33" s="12"/>
      <c r="H33" s="12"/>
      <c r="I33" s="12"/>
      <c r="J33" s="15" t="s">
        <v>20</v>
      </c>
      <c r="K33" s="12"/>
      <c r="L33" s="18"/>
    </row>
  </sheetData>
  <mergeCells count="55">
    <mergeCell ref="A18:A23"/>
    <mergeCell ref="H18:H23"/>
    <mergeCell ref="I18:I23"/>
    <mergeCell ref="J18:J23"/>
    <mergeCell ref="K18:K23"/>
    <mergeCell ref="L18:L23"/>
    <mergeCell ref="B18:B23"/>
    <mergeCell ref="C18:C23"/>
    <mergeCell ref="D18:D23"/>
    <mergeCell ref="E18:E23"/>
    <mergeCell ref="F18:F23"/>
    <mergeCell ref="G18:G23"/>
    <mergeCell ref="E9:E17"/>
    <mergeCell ref="J30:L30"/>
    <mergeCell ref="J31:L31"/>
    <mergeCell ref="J32:L32"/>
    <mergeCell ref="J33:L33"/>
    <mergeCell ref="C9:C12"/>
    <mergeCell ref="C14:C16"/>
    <mergeCell ref="H9:H12"/>
    <mergeCell ref="H14:H16"/>
    <mergeCell ref="L14:L16"/>
    <mergeCell ref="A27:B27"/>
    <mergeCell ref="D27:L28"/>
    <mergeCell ref="A30:D30"/>
    <mergeCell ref="A31:D31"/>
    <mergeCell ref="A32:D32"/>
    <mergeCell ref="A33:D33"/>
    <mergeCell ref="E30:I30"/>
    <mergeCell ref="E31:I31"/>
    <mergeCell ref="E32:I32"/>
    <mergeCell ref="E33:I33"/>
    <mergeCell ref="A6:B6"/>
    <mergeCell ref="D6:F6"/>
    <mergeCell ref="I6:J6"/>
    <mergeCell ref="K6:L6"/>
    <mergeCell ref="A24:E24"/>
    <mergeCell ref="A25:E25"/>
    <mergeCell ref="B9:B17"/>
    <mergeCell ref="L9:L12"/>
    <mergeCell ref="G9:G12"/>
    <mergeCell ref="G14:G16"/>
    <mergeCell ref="A4:B4"/>
    <mergeCell ref="D4:F4"/>
    <mergeCell ref="I4:J4"/>
    <mergeCell ref="K4:L4"/>
    <mergeCell ref="A5:B5"/>
    <mergeCell ref="D5:F5"/>
    <mergeCell ref="I5:J5"/>
    <mergeCell ref="K5:L5"/>
    <mergeCell ref="A1:L1"/>
    <mergeCell ref="A3:B3"/>
    <mergeCell ref="D3:F3"/>
    <mergeCell ref="I3:J3"/>
    <mergeCell ref="K3:L3"/>
  </mergeCells>
  <printOptions horizontalCentered="1"/>
  <pageMargins left="0" right="0" top="0" bottom="0" header="0.3" footer="0.3"/>
  <pageSetup scale="57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محضر استلام</vt:lpstr>
      <vt:lpstr>'محضر استلام'!Print_Area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VIVID DESIGN</dc:creator>
  <cp:lastModifiedBy>VIVID DESIGN</cp:lastModifiedBy>
  <cp:lastPrinted>2026-10-03T15:36:36Z</cp:lastPrinted>
  <dcterms:created xsi:type="dcterms:W3CDTF">2026-10-03T10:27:30Z</dcterms:created>
  <dcterms:modified xsi:type="dcterms:W3CDTF">2026-10-03T15:37:42Z</dcterms:modified>
</cp:coreProperties>
</file>