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c6454b8fb7a181/Desktop/"/>
    </mc:Choice>
  </mc:AlternateContent>
  <xr:revisionPtr revIDLastSave="0" documentId="8_{F13515CE-4E18-43BA-A566-0225F841DCA7}" xr6:coauthVersionLast="47" xr6:coauthVersionMax="47" xr10:uidLastSave="{00000000-0000-0000-0000-000000000000}"/>
  <bookViews>
    <workbookView xWindow="-108" yWindow="-108" windowWidth="23256" windowHeight="12456" xr2:uid="{98AB119B-A5B1-4827-BE5D-CB2B12D1D603}"/>
  </bookViews>
  <sheets>
    <sheet name="ملخص للعميل" sheetId="5" r:id="rId1"/>
    <sheet name="الملخص" sheetId="3" r:id="rId2"/>
    <sheet name="مستخلص الرخام" sheetId="1" r:id="rId3"/>
    <sheet name="مستخلص الشركة" sheetId="2" r:id="rId4"/>
    <sheet name="أعمال الأرضي المتبقية" sheetId="4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tc={A3BF385C-CE3A-4D03-979B-25D7B5BD0EE7}</author>
    <author>HUAWEI</author>
    <author>tc={2C2964F3-245E-4BF0-B03F-867AA7C213E2}</author>
  </authors>
  <commentList>
    <comment ref="A4" authorId="0" shapeId="0" xr:uid="{A3BF385C-CE3A-4D03-979B-25D7B5BD0EE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مستخلص شركة الرخام.pdf, uploaded 2026-09-24</t>
      </text>
    </comment>
    <comment ref="L4" authorId="1" shapeId="0" xr:uid="{611C0E4C-0E85-40D2-A3B9-3301B6D05AFD}">
      <text>
        <r>
          <rPr>
            <b/>
            <sz val="9"/>
            <color indexed="81"/>
            <rFont val="Tahoma"/>
          </rPr>
          <t>HUAWEI:</t>
        </r>
        <r>
          <rPr>
            <sz val="9"/>
            <color indexed="81"/>
            <rFont val="Tahoma"/>
          </rPr>
          <t xml:space="preserve">
Source: 27.9.2026 مستخلص أعمال المشروع.pdf, uploaded 2026-09-27</t>
        </r>
      </text>
    </comment>
    <comment ref="A39" authorId="2" shapeId="0" xr:uid="{2C2964F3-245E-4BF0-B03F-867AA7C213E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صورة كشف الحسابات (كشف الحسابات), uploaded 2026-09-24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tc={22D63421-715B-491B-B16F-1AA05E3A0B65}</author>
    <author>tc={3D5C859F-297C-4DC2-ABAB-8F1771E76303}</author>
  </authors>
  <commentList>
    <comment ref="A3" authorId="0" shapeId="0" xr:uid="{22D63421-715B-491B-B16F-1AA05E3A0B6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عرض سعر التوريد.pdf (عرض سعر توريد)، uploaded 2026-09-24</t>
      </text>
    </comment>
    <comment ref="A8" authorId="1" shapeId="0" xr:uid="{3D5C859F-297C-4DC2-ABAB-8F1771E76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Quotation Project 21.09.2026 شركة القص والتركيب.pdf، uploaded 2026-09-24</t>
      </text>
    </comment>
  </commentList>
</comments>
</file>

<file path=xl/sharedStrings.xml><?xml version="1.0" encoding="utf-8"?>
<sst xmlns="http://schemas.openxmlformats.org/spreadsheetml/2006/main" count="294" uniqueCount="197">
  <si>
    <t>مستخلص أعمال الرخام – فيلا خاصة (الرياض)</t>
  </si>
  <si>
    <t>شركة الرخام (A | Marble Stone &amp; Granite) – مقارنة كميات عرض السعر بالكميات المركبة فعلياً بالموقع</t>
  </si>
  <si>
    <t>المشروع</t>
  </si>
  <si>
    <t>فيلا خاصة – الرياض</t>
  </si>
  <si>
    <t>المقاول</t>
  </si>
  <si>
    <t>شركة الرخام – رخام وجرانيت</t>
  </si>
  <si>
    <t>عناية</t>
  </si>
  <si>
    <t>مدير المشروع</t>
  </si>
  <si>
    <t>مرجع عرض السعر</t>
  </si>
  <si>
    <t>1534/24</t>
  </si>
  <si>
    <t>تاريخ عرض السعر</t>
  </si>
  <si>
    <t>13/11/2025</t>
  </si>
  <si>
    <t>رقم المستخلص</t>
  </si>
  <si>
    <t>تاريخ المستخلص</t>
  </si>
  <si>
    <t>نسبة ضريبة القيمة المضافة</t>
  </si>
  <si>
    <t>م</t>
  </si>
  <si>
    <t>الدور</t>
  </si>
  <si>
    <t>الوصف</t>
  </si>
  <si>
    <t>النوع</t>
  </si>
  <si>
    <t>الوحدة</t>
  </si>
  <si>
    <t>سعر الوحدة (ر.س)</t>
  </si>
  <si>
    <t>كمية عرض السعر (م²)</t>
  </si>
  <si>
    <t>قيمة عرض السعر (ر.س)</t>
  </si>
  <si>
    <t>الكمية المركبة فعلياً (م²)</t>
  </si>
  <si>
    <t>قيمة الأعمال الفعلية (ر.س)</t>
  </si>
  <si>
    <t>فرق الكمية (م²)</t>
  </si>
  <si>
    <t>فرق القيمة (ر.س)</t>
  </si>
  <si>
    <t>الأرضي G.F</t>
  </si>
  <si>
    <t>أرضيات ووزرات وسلالم</t>
  </si>
  <si>
    <t>رخام إيطالي مصقول 2 سم (بلوك 11791 / 11514)</t>
  </si>
  <si>
    <t>م²</t>
  </si>
  <si>
    <t>الأول والثاني F.F / 2ND</t>
  </si>
  <si>
    <t>الإجمالي قبل الضريبة</t>
  </si>
  <si>
    <t>الإجمالي شامل الضريبة</t>
  </si>
  <si>
    <t>ملخص المستخلص</t>
  </si>
  <si>
    <t>البيان</t>
  </si>
  <si>
    <t>النسبة حسب العرض</t>
  </si>
  <si>
    <t>المفترض حسب عرض السعر (ر.س)</t>
  </si>
  <si>
    <t>إجمالي قيمة الأعمال الفعلية شامل الضريبة</t>
  </si>
  <si>
    <t>إجمالي الدفعات السابقة المصروفة</t>
  </si>
  <si>
    <t>صافي المستحق (موجب = مستحق للشركة / سالب = مسترد للمالك)</t>
  </si>
  <si>
    <t>ملاحظة: الخلايا الصفراء مدخلات مطلوبة (الكميات المركبة فعلياً والمبالغ المصروفة). المصدر: عرض سعر شركة الرخام مرجع 1534/24 بتاريخ 13/11/2025.</t>
  </si>
  <si>
    <t>مراجعة مستخلص أعمال الرخام (كرارا) – فيلا سكنية – الرياض</t>
  </si>
  <si>
    <t>مقارنة الكميات المطالب بها من شركة الرخام بالكميات المعتمدة بعد مراجعة الموقع</t>
  </si>
  <si>
    <t>القسم</t>
  </si>
  <si>
    <t>البند</t>
  </si>
  <si>
    <t>الكمية حسب الشركة</t>
  </si>
  <si>
    <t>القيمة حسب الشركة (ر.س)</t>
  </si>
  <si>
    <t>الكمية المعتمدة</t>
  </si>
  <si>
    <t>القيمة المعتمدة (ر.س)</t>
  </si>
  <si>
    <t>الفرق (ر.س)</t>
  </si>
  <si>
    <t>ملاحظات</t>
  </si>
  <si>
    <t>ملحق علوي</t>
  </si>
  <si>
    <t>أرضيات الملحق العلوي (تم التوريد)</t>
  </si>
  <si>
    <t>M²</t>
  </si>
  <si>
    <t>أرضيات الملحق العلوي - مكرر (تم التوريد)</t>
  </si>
  <si>
    <t>نعلات الملحق العلوي 17 سم ديكور رقم 1</t>
  </si>
  <si>
    <t>أجور ديكور</t>
  </si>
  <si>
    <t>LM</t>
  </si>
  <si>
    <t>إجمالي ملحق علوي</t>
  </si>
  <si>
    <t>دور أول</t>
  </si>
  <si>
    <t>أرضيات الدور الأول (تم التوريد)</t>
  </si>
  <si>
    <t>نعلات الدور الأول 17 سم ديكور رقم 1</t>
  </si>
  <si>
    <t>إجمالي دور أول</t>
  </si>
  <si>
    <t>القبو</t>
  </si>
  <si>
    <t>أرضيات القبو (تم التوريد)</t>
  </si>
  <si>
    <t>نعلات القبو 17 سم ديكور رقم 1</t>
  </si>
  <si>
    <t>إجمالي القبو</t>
  </si>
  <si>
    <t>الأدراج</t>
  </si>
  <si>
    <t>درج من الأرضي إلى القبو - كرارا</t>
  </si>
  <si>
    <t>أعمال فنية للدرج من الأرضي للقبو</t>
  </si>
  <si>
    <t>درج من الأول إلى العلوي - كرارا</t>
  </si>
  <si>
    <t>أعمال فنية للدرج من الأول إلى العلوي</t>
  </si>
  <si>
    <t>إجمالي الأدراج</t>
  </si>
  <si>
    <t>ضريبة القيمة المضافة</t>
  </si>
  <si>
    <t>الإجمالي العام شامل الضريبة</t>
  </si>
  <si>
    <t>الرصيد المتاح لصالح المالك (المدفوع – قيمة الأعمال)</t>
  </si>
  <si>
    <t>الرصيد كما ورد في مستخلص الشركة (للمطابقة)</t>
  </si>
  <si>
    <t>الدفعات المحولة من العميل لشركة الرخام (حسب كشف الحسابات)</t>
  </si>
  <si>
    <t>التاريخ</t>
  </si>
  <si>
    <t>القيمة قبل الضريبة (ر.س)</t>
  </si>
  <si>
    <t>الضريبة (ر.س)</t>
  </si>
  <si>
    <t>الإجمالي (ر.س)</t>
  </si>
  <si>
    <t>مذكورة في مستخلص الشركة؟</t>
  </si>
  <si>
    <t>دفعة أولى 50% – توريد الرخام الداخلي</t>
  </si>
  <si>
    <t>نعم</t>
  </si>
  <si>
    <t>دفعة 2 – توريد الرخام الداخلي (رصيد ك ح)</t>
  </si>
  <si>
    <t>لا</t>
  </si>
  <si>
    <t>دفعة غير محتسبة في مستخلص الشركة</t>
  </si>
  <si>
    <t>دفعة 3 – توريد الرخام الداخلي (الدور الثاني)</t>
  </si>
  <si>
    <t>إجمالي الدفعات</t>
  </si>
  <si>
    <t>الدفعات المحتسبة في مستخلص الشركة</t>
  </si>
  <si>
    <t>الدفعات المنسية (غير محتسبة)</t>
  </si>
  <si>
    <t>الشركة (G) محتسبة دفعتين فقط – المعتمد (I) من كشف الحسابات</t>
  </si>
  <si>
    <t>الدفعات المحصلة (المدفوع للشركة)</t>
  </si>
  <si>
    <t>الرصيد بعد إضافة الدفعة المنسية فقط (بأعمال الشركة كما هي)</t>
  </si>
  <si>
    <t>المصدر: مستخلص شركة الرخام (ملف: مستخلص شركة الرخام.pdf). الأزرق = مدخلات، الأصفر = بند يحتاج مراجعة. الدفعات: كشف مصروفات وتحويلات مباشرة من العميل بتاريخ 2026-09-22.</t>
  </si>
  <si>
    <t>الدفعة الأولى المصروفة (2025-12-09)</t>
  </si>
  <si>
    <t>الدفعتان الثانية والثالثة المصروفتان (2026-03-31 و 2026-05-03)</t>
  </si>
  <si>
    <t>الفعلي حسب المستخلص المعتمد وكشف الحسابات (ر.س)</t>
  </si>
  <si>
    <t>1) قيمة التعاقد</t>
  </si>
  <si>
    <t>حسب الشركة</t>
  </si>
  <si>
    <t>المعتمد / الصحيح</t>
  </si>
  <si>
    <t>الفرق</t>
  </si>
  <si>
    <t>قيمة التعاقد شامل الضريبة (عرض السعر 1534/24)</t>
  </si>
  <si>
    <t>2) الأعمال المنفذة (قبل الضريبة)</t>
  </si>
  <si>
    <t>الملحق العلوي</t>
  </si>
  <si>
    <t>الدور الأول</t>
  </si>
  <si>
    <t>إجمالي الأعمال قبل الضريبة</t>
  </si>
  <si>
    <t>ضريبة القيمة المضافة 15%</t>
  </si>
  <si>
    <t>إجمالي الأعمال شامل الضريبة</t>
  </si>
  <si>
    <t>3) الدفعات المحولة للشركة</t>
  </si>
  <si>
    <t>الدفعة الأولى 2025-12-09</t>
  </si>
  <si>
    <t>الدفعة الثانية 2026-03-31</t>
  </si>
  <si>
    <t>دفعة منسية في مستخلص الشركة</t>
  </si>
  <si>
    <t>الدفعة الثالثة 2026-05-03</t>
  </si>
  <si>
    <t>4) الموقف المالي</t>
  </si>
  <si>
    <t>الرصيد لصالح المالك عند الشركة (المدفوع – الأعمال)</t>
  </si>
  <si>
    <t>موجب = مبلغ مدفوع زيادة عن الأعمال المنفذة</t>
  </si>
  <si>
    <t>نسبة الأعمال المنفذة من قيمة التعاقد</t>
  </si>
  <si>
    <t>نسبة المدفوع من قيمة التعاقد</t>
  </si>
  <si>
    <t>المتبقي من قيمة التعاقد للسداد</t>
  </si>
  <si>
    <t>يطابق كشف الحسابات</t>
  </si>
  <si>
    <t>5) ملاحظات للمتابعة مع الشركة</t>
  </si>
  <si>
    <t>الرصيد المتبقي عند الشركة حسب مستخلصهم</t>
  </si>
  <si>
    <t>المتبقي عند شركة الرخام لصالح المالك</t>
  </si>
  <si>
    <t>لم يتم التوريد</t>
  </si>
  <si>
    <t>• النعلات (الملحق العلوي والدور الأول والقبو) والأدراج (من الأرضي للقبو ومن الأول للعلوي) لم يتم توريدها حتى تاريخه رغم احتسابها في مستخلص الشركة.</t>
  </si>
  <si>
    <t>أعمال الدور الأرضي المتبقية – فيلا سكنية – الرياض</t>
  </si>
  <si>
    <t>المورد / المصدر</t>
  </si>
  <si>
    <t>الكمية</t>
  </si>
  <si>
    <t>أولاً: التوريد</t>
  </si>
  <si>
    <t>إجمالي التوريد</t>
  </si>
  <si>
    <t>ثانياً: القص والتركيب</t>
  </si>
  <si>
    <t>إجمالي القص والتركيب</t>
  </si>
  <si>
    <t>إجمالي أعمال الأرضي قبل الضريبة</t>
  </si>
  <si>
    <t>إجمالي أعمال الأرضي المتبقية شامل الضريبة</t>
  </si>
  <si>
    <t>− توريد رخام الدور الأرضي (متبقي – شامل الضريبة)</t>
  </si>
  <si>
    <t>− قص وتركيب الدور الأرضي (متبقي – شامل الضريبة)</t>
  </si>
  <si>
    <t>قص الرخام + تركيب ناشف + سيلر + تغليف + توصيل (Marble Cutting, Dry lay, Sealer, Packing, Delivery)</t>
  </si>
  <si>
    <t>شركة القص والتركيب (عرض 21/09/2026)</t>
  </si>
  <si>
    <t>أعمال فنية / تشكيل (Fabrication)</t>
  </si>
  <si>
    <t>مجرى مزدوج وإضاءة (Double Groove &amp; Light)</t>
  </si>
  <si>
    <t>شروط الدفع: 100% مقدم</t>
  </si>
  <si>
    <t>ملاحظة: عرض القص والتركيب من شركة القص والتركيب بتاريخ 21/09/2026 (مرجع 1534/24) – الدفع 100% مقدم.</t>
  </si>
  <si>
    <t>عرض القص والتركيب – الدفع 100% مقدم</t>
  </si>
  <si>
    <t>خصم رخام مكسور قابل للاستخدام (من المرتجع)</t>
  </si>
  <si>
    <t>+ الدفعة الثانية المنسية + خصم 20 م² رخام مكسور قابل للاستخدام</t>
  </si>
  <si>
    <t>القيمة حسب المستخلص المحدث 27/9/2026 (ر.س)</t>
  </si>
  <si>
    <t>المطابقة مع المعتمد (I)</t>
  </si>
  <si>
    <t>مطابقة المستخلص المحدث 27/9/2026 – ما بعد الرصيد</t>
  </si>
  <si>
    <t>الرصيد المتاح حسب المستخلص المحدث</t>
  </si>
  <si>
    <t>− فاتورة قص الدور الأرضي (القص والتركيب شامل الضريبة) كما وردت بالمستخلص</t>
  </si>
  <si>
    <t>المتبقي النهائي حسب المستخلص المحدث</t>
  </si>
  <si>
    <t>الصافي بعد استكمال الدور الأرضي</t>
  </si>
  <si>
    <t>ملخص أعمال ومستخلص الرخام – فيلا سكنية – الرياض</t>
  </si>
  <si>
    <t>الرخام المرتجع (مكسور + مكرر) تم استخدامه في 20 م² من درج الأول للعلوي – تم خصمه في المستخلص المحدث 27/9/2026</t>
  </si>
  <si>
    <t>الخصم (20 م²) مُطبّق على بند درج الأول للعلوي (صف 25) بدل هذا البند</t>
  </si>
  <si>
    <t>27.53 م² منها 20 م² من الرخام المرتجع → المحتسب 7.53 م² فقط</t>
  </si>
  <si>
    <t>• بند «أرضيات الملحق العلوي – مكرر» 70 م²: الرخام المرتجع للشركة (من المكسور ومن الكمية المكررة) تم استخدامه في 20 م² من درج الأول للعلوي، وتم خصمها في المستخلص المحدث 27/9/2026 (27.53 ← 7.53 م²).</t>
  </si>
  <si>
    <t>6) التكلفة الكاملة للمشروع – بنود تفصيلية</t>
  </si>
  <si>
    <t>القيمة قبل الضريبة</t>
  </si>
  <si>
    <t>الكمية × سعر الوحدة</t>
  </si>
  <si>
    <t>أولاً: الأعمال المنفذة – شركة الرخام (حسب المستخلص المعتمد)</t>
  </si>
  <si>
    <t>إجمالي الأعمال المنفذة</t>
  </si>
  <si>
    <t>ثانياً: أعمال الدور الأرضي المتبقية</t>
  </si>
  <si>
    <t>إجمالي أعمال الدور الأرضي المتبقية</t>
  </si>
  <si>
    <t>إجمالي تكلفة المشروع كاملة</t>
  </si>
  <si>
    <t>− إجمالي الدفعات المحولة للشركة</t>
  </si>
  <si>
    <t>المتبقي المستحق لشركة الرخام</t>
  </si>
  <si>
    <t>نسبة تكلفة المشروع الكاملة من قيمة التعاقد</t>
  </si>
  <si>
    <t>ملخص تكلفة أعمال الرخام – فيلا سكنية – الرياض</t>
  </si>
  <si>
    <t>شركة الرخام (المقاول) – حسب المستخلص المحدث بتاريخ 27/9/2026 – المبالغ بالريال السعودي</t>
  </si>
  <si>
    <t>أولاً: الأعمال المنفذة (حسب الأدوار)</t>
  </si>
  <si>
    <t>ثانياً: الدور الأرضي</t>
  </si>
  <si>
    <t>قص وتركيب الدور الأرضي</t>
  </si>
  <si>
    <t>إجمالي الدور الأرضي</t>
  </si>
  <si>
    <t>إجمالي قيمة العقد (المشروع كامل)</t>
  </si>
  <si>
    <t>إجمالي المبالغ المحولة للشركة</t>
  </si>
  <si>
    <t>ملاحظات:</t>
  </si>
  <si>
    <t>• تم خصم 20 م² من الرخام المرتجع (المستخدم في درج الأول للعلوي) من قيمة الأدراج.</t>
  </si>
  <si>
    <t>المطلوب تحويله للشركة من العميل</t>
  </si>
  <si>
    <t>التوفير مقارنة بقيمة العقد الأصلي (عرض السعر)</t>
  </si>
  <si>
    <t>قيمة العقد الأصلي حسب عرض السعر (1534/24)</t>
  </si>
  <si>
    <t>الإجمالي الحالي للمشروع كامل</t>
  </si>
  <si>
    <t>نسبة التوفير من قيمة العقد</t>
  </si>
  <si>
    <t>مورد الرخام (عرض سعر 29/09/2026 لشركة الرخام)</t>
  </si>
  <si>
    <t>• تكلفة الدور الأرضي حسب عرض توريد مورد الرخام بتاريخ 29/09/2026 وعرض قص وتركيب القص والتركيب بتاريخ 21/09/2026 (الدفع 100% مقدم).</t>
  </si>
  <si>
    <t xml:space="preserve">قيمة التوفير عن العقد </t>
  </si>
  <si>
    <t>رخام كالكتا إيطالي – نخب أول – ألواح خام سماكة 2 سم (النوع 1) – أرضيات ودرج وجدران مداخل المجالس</t>
  </si>
  <si>
    <t>توريد رخام كالكتا إيطالي نخب أول 2 سم (1) – أرضيات ودرج وجدران مداخل المجالس</t>
  </si>
  <si>
    <t>رخام كالكتا إيطالي – نخب أول – ألواح خام سماكة 2 سم (النوع 2) – أرضيات وجدران الحمامات</t>
  </si>
  <si>
    <t>توريد رخام كالكتا إيطالي نخب أول 2 سم (2) – أرضيات وجدران الحمامات</t>
  </si>
  <si>
    <t>• لم تكن أمتار جدران الحمامات الزائدة محتسبة في العقد الأساسي (عرض السعر 1534/24).</t>
  </si>
  <si>
    <t>رخام ارضيات و درج و جدران مداخل المجالس فى الدور الارضى</t>
  </si>
  <si>
    <t xml:space="preserve">رخام جدران و ارضيات الحمامات بالدور الارضي </t>
  </si>
  <si>
    <t>ملاحظات على الرخام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</si>
</sst>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%"/>
    <numFmt numFmtId="165" formatCode="dd/mm/yyyy"/>
    <numFmt numFmtId="166" formatCode="#,##0;\(#,##0\);&quot;-&quot;"/>
    <numFmt numFmtId="167" formatCode="#,##0.00;\(#,##0.00\);&quot;-&quot;"/>
    <numFmt numFmtId="168" formatCode="yyyy\-mm\-dd"/>
    <numFmt numFmtId="169" formatCode="#,##0.00;\(#,##0.00\);\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0000FF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2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0"/>
      <color rgb="FF0000FF"/>
      <name val="Arial"/>
    </font>
    <font>
      <sz val="10"/>
      <color rgb="FF008000"/>
      <name val="Arial"/>
    </font>
    <font>
      <b/>
      <sz val="11"/>
      <color rgb="FFFFFFFF"/>
      <name val="Aptos Narrow"/>
      <family val="2"/>
      <scheme val="minor"/>
    </font>
    <font>
      <b/>
      <sz val="11"/>
      <color theme="1"/>
      <name val="Arial"/>
    </font>
    <font>
      <sz val="10"/>
      <color rgb="FF000000"/>
      <name val="Arial"/>
    </font>
    <font>
      <sz val="11"/>
      <color rgb="FF000000"/>
      <name val="Aptos Narrow"/>
      <family val="2"/>
      <scheme val="minor"/>
    </font>
    <font>
      <b/>
      <sz val="10"/>
      <color rgb="FF000000"/>
      <name val="Arial"/>
    </font>
    <font>
      <b/>
      <sz val="13"/>
      <color rgb="FFC00000"/>
      <name val="Arial"/>
    </font>
    <font>
      <b/>
      <sz val="13"/>
      <color rgb="FFC00000"/>
      <name val="Aptos Narrow"/>
      <family val="2"/>
      <scheme val="minor"/>
    </font>
    <font>
      <b/>
      <sz val="10"/>
      <color rgb="FFC00000"/>
      <name val="Arial"/>
    </font>
    <font>
      <b/>
      <sz val="11"/>
      <color rgb="FF008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008000"/>
      <name val="Arial"/>
    </font>
    <font>
      <sz val="10"/>
      <color rgb="FF000000"/>
      <name val="Aptos Narrow"/>
      <family val="2"/>
      <scheme val="minor"/>
    </font>
    <font>
      <b/>
      <sz val="13"/>
      <color rgb="FF375623"/>
      <name val="Arial"/>
    </font>
    <font>
      <b/>
      <sz val="13"/>
      <color rgb="FF375623"/>
      <name val="Aptos Narrow"/>
      <family val="2"/>
      <scheme val="minor"/>
    </font>
    <font>
      <sz val="11"/>
      <color rgb="FF595959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Arial"/>
    </font>
    <font>
      <b/>
      <sz val="11"/>
      <color rgb="FF1F3864"/>
      <name val="Arial"/>
    </font>
    <font>
      <sz val="10"/>
      <color theme="1"/>
      <name val="Aptos Narrow"/>
      <family val="2"/>
      <scheme val="minor"/>
    </font>
    <font>
      <b/>
      <sz val="12"/>
      <color rgb="FF375623"/>
      <name val="Arial"/>
    </font>
    <font>
      <b/>
      <sz val="12"/>
      <color theme="1"/>
      <name val="Arial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ck">
        <color rgb="FF808080"/>
      </top>
      <bottom style="thin">
        <color rgb="FF808080"/>
      </bottom>
      <diagonal/>
    </border>
    <border>
      <left/>
      <right/>
      <top style="thick">
        <color rgb="FF808080"/>
      </top>
      <bottom style="thin">
        <color rgb="FF808080"/>
      </bottom>
      <diagonal/>
    </border>
    <border>
      <left/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166" fontId="5" fillId="0" borderId="5" xfId="0" applyNumberFormat="1" applyFont="1" applyBorder="1" applyAlignment="1">
      <alignment vertical="center" wrapText="1"/>
    </xf>
    <xf numFmtId="166" fontId="2" fillId="0" borderId="5" xfId="0" applyNumberFormat="1" applyFont="1" applyBorder="1" applyAlignment="1">
      <alignment vertical="center" wrapText="1"/>
    </xf>
    <xf numFmtId="166" fontId="5" fillId="3" borderId="5" xfId="0" applyNumberFormat="1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wrapText="1"/>
    </xf>
    <xf numFmtId="0" fontId="7" fillId="6" borderId="5" xfId="0" applyFont="1" applyFill="1" applyBorder="1"/>
    <xf numFmtId="0" fontId="2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167" fontId="2" fillId="0" borderId="0" xfId="0" applyNumberFormat="1" applyFont="1"/>
    <xf numFmtId="167" fontId="5" fillId="0" borderId="5" xfId="0" applyNumberFormat="1" applyFont="1" applyBorder="1"/>
    <xf numFmtId="167" fontId="2" fillId="0" borderId="5" xfId="0" applyNumberFormat="1" applyFont="1" applyBorder="1"/>
    <xf numFmtId="0" fontId="2" fillId="3" borderId="5" xfId="0" applyFont="1" applyFill="1" applyBorder="1"/>
    <xf numFmtId="167" fontId="5" fillId="3" borderId="5" xfId="0" applyNumberFormat="1" applyFont="1" applyFill="1" applyBorder="1"/>
    <xf numFmtId="167" fontId="2" fillId="3" borderId="5" xfId="0" applyNumberFormat="1" applyFont="1" applyFill="1" applyBorder="1"/>
    <xf numFmtId="167" fontId="7" fillId="7" borderId="5" xfId="0" applyNumberFormat="1" applyFont="1" applyFill="1" applyBorder="1"/>
    <xf numFmtId="0" fontId="7" fillId="7" borderId="5" xfId="0" applyFont="1" applyFill="1" applyBorder="1"/>
    <xf numFmtId="167" fontId="7" fillId="5" borderId="5" xfId="0" applyNumberFormat="1" applyFont="1" applyFill="1" applyBorder="1"/>
    <xf numFmtId="0" fontId="7" fillId="5" borderId="5" xfId="0" applyFont="1" applyFill="1" applyBorder="1"/>
    <xf numFmtId="9" fontId="10" fillId="5" borderId="5" xfId="0" applyNumberFormat="1" applyFont="1" applyFill="1" applyBorder="1"/>
    <xf numFmtId="167" fontId="7" fillId="6" borderId="5" xfId="0" applyNumberFormat="1" applyFont="1" applyFill="1" applyBorder="1"/>
    <xf numFmtId="0" fontId="7" fillId="7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7" fillId="6" borderId="5" xfId="0" applyFont="1" applyFill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5" borderId="5" xfId="0" applyFont="1" applyFill="1" applyBorder="1" applyAlignment="1">
      <alignment horizontal="center" wrapText="1"/>
    </xf>
    <xf numFmtId="168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8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7" fontId="7" fillId="0" borderId="5" xfId="0" applyNumberFormat="1" applyFont="1" applyBorder="1"/>
    <xf numFmtId="0" fontId="7" fillId="0" borderId="5" xfId="0" applyFont="1" applyBorder="1"/>
    <xf numFmtId="167" fontId="7" fillId="8" borderId="5" xfId="0" applyNumberFormat="1" applyFont="1" applyFill="1" applyBorder="1"/>
    <xf numFmtId="0" fontId="7" fillId="8" borderId="5" xfId="0" applyFont="1" applyFill="1" applyBorder="1"/>
    <xf numFmtId="0" fontId="0" fillId="0" borderId="0" xfId="0" applyAlignment="1">
      <alignment horizontal="right" readingOrder="2"/>
    </xf>
    <xf numFmtId="0" fontId="7" fillId="5" borderId="5" xfId="0" applyFont="1" applyFill="1" applyBorder="1" applyAlignment="1">
      <alignment horizontal="right" readingOrder="2"/>
    </xf>
    <xf numFmtId="0" fontId="7" fillId="5" borderId="5" xfId="0" applyFont="1" applyFill="1" applyBorder="1" applyAlignment="1">
      <alignment horizontal="right" wrapText="1" readingOrder="2"/>
    </xf>
    <xf numFmtId="0" fontId="2" fillId="0" borderId="5" xfId="0" applyFont="1" applyBorder="1" applyAlignment="1">
      <alignment horizontal="right" readingOrder="2"/>
    </xf>
    <xf numFmtId="167" fontId="11" fillId="0" borderId="5" xfId="0" applyNumberFormat="1" applyFont="1" applyBorder="1" applyAlignment="1">
      <alignment horizontal="right" readingOrder="2"/>
    </xf>
    <xf numFmtId="167" fontId="2" fillId="0" borderId="5" xfId="0" applyNumberFormat="1" applyFont="1" applyBorder="1" applyAlignment="1">
      <alignment horizontal="right" readingOrder="2"/>
    </xf>
    <xf numFmtId="0" fontId="2" fillId="0" borderId="5" xfId="0" applyFont="1" applyBorder="1" applyAlignment="1">
      <alignment horizontal="right" wrapText="1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wrapText="1" readingOrder="2"/>
    </xf>
    <xf numFmtId="0" fontId="7" fillId="7" borderId="5" xfId="0" applyFont="1" applyFill="1" applyBorder="1" applyAlignment="1">
      <alignment horizontal="right" readingOrder="2"/>
    </xf>
    <xf numFmtId="167" fontId="7" fillId="7" borderId="5" xfId="0" applyNumberFormat="1" applyFont="1" applyFill="1" applyBorder="1" applyAlignment="1">
      <alignment horizontal="right" readingOrder="2"/>
    </xf>
    <xf numFmtId="0" fontId="7" fillId="7" borderId="5" xfId="0" applyFont="1" applyFill="1" applyBorder="1" applyAlignment="1">
      <alignment horizontal="right" wrapText="1" readingOrder="2"/>
    </xf>
    <xf numFmtId="0" fontId="13" fillId="6" borderId="5" xfId="0" applyFont="1" applyFill="1" applyBorder="1" applyAlignment="1">
      <alignment horizontal="right" readingOrder="2"/>
    </xf>
    <xf numFmtId="167" fontId="13" fillId="6" borderId="5" xfId="0" applyNumberFormat="1" applyFont="1" applyFill="1" applyBorder="1" applyAlignment="1">
      <alignment horizontal="right" readingOrder="2"/>
    </xf>
    <xf numFmtId="0" fontId="13" fillId="6" borderId="5" xfId="0" applyFont="1" applyFill="1" applyBorder="1" applyAlignment="1">
      <alignment horizontal="right" wrapText="1" readingOrder="2"/>
    </xf>
    <xf numFmtId="164" fontId="2" fillId="0" borderId="5" xfId="0" applyNumberFormat="1" applyFont="1" applyBorder="1" applyAlignment="1">
      <alignment horizontal="right" readingOrder="2"/>
    </xf>
    <xf numFmtId="166" fontId="7" fillId="5" borderId="5" xfId="0" applyNumberFormat="1" applyFont="1" applyFill="1" applyBorder="1"/>
    <xf numFmtId="166" fontId="2" fillId="0" borderId="5" xfId="0" applyNumberFormat="1" applyFont="1" applyBorder="1"/>
    <xf numFmtId="166" fontId="11" fillId="0" borderId="5" xfId="0" applyNumberFormat="1" applyFont="1" applyBorder="1"/>
    <xf numFmtId="9" fontId="5" fillId="0" borderId="5" xfId="0" applyNumberFormat="1" applyFont="1" applyBorder="1"/>
    <xf numFmtId="9" fontId="7" fillId="0" borderId="5" xfId="0" applyNumberFormat="1" applyFont="1" applyBorder="1"/>
    <xf numFmtId="166" fontId="7" fillId="0" borderId="5" xfId="0" applyNumberFormat="1" applyFont="1" applyBorder="1"/>
    <xf numFmtId="166" fontId="7" fillId="6" borderId="5" xfId="0" applyNumberFormat="1" applyFont="1" applyFill="1" applyBorder="1"/>
    <xf numFmtId="167" fontId="5" fillId="0" borderId="5" xfId="0" applyNumberFormat="1" applyFont="1" applyBorder="1" applyAlignment="1">
      <alignment readingOrder="2"/>
    </xf>
    <xf numFmtId="0" fontId="15" fillId="0" borderId="0" xfId="0" applyFont="1" applyAlignment="1">
      <alignment horizontal="right" readingOrder="2"/>
    </xf>
    <xf numFmtId="0" fontId="2" fillId="0" borderId="8" xfId="0" applyFont="1" applyBorder="1" applyAlignment="1">
      <alignment horizontal="right" readingOrder="2"/>
    </xf>
    <xf numFmtId="167" fontId="2" fillId="0" borderId="8" xfId="0" applyNumberFormat="1" applyFont="1" applyBorder="1" applyAlignment="1">
      <alignment horizontal="right" readingOrder="2"/>
    </xf>
    <xf numFmtId="167" fontId="2" fillId="3" borderId="8" xfId="0" applyNumberFormat="1" applyFont="1" applyFill="1" applyBorder="1" applyAlignment="1">
      <alignment horizontal="right" readingOrder="2"/>
    </xf>
    <xf numFmtId="0" fontId="2" fillId="0" borderId="8" xfId="0" applyFont="1" applyBorder="1" applyAlignment="1">
      <alignment horizontal="right" wrapText="1" readingOrder="2"/>
    </xf>
    <xf numFmtId="0" fontId="16" fillId="0" borderId="3" xfId="0" applyFont="1" applyBorder="1" applyAlignment="1">
      <alignment horizontal="right" readingOrder="2"/>
    </xf>
    <xf numFmtId="167" fontId="14" fillId="0" borderId="2" xfId="0" applyNumberFormat="1" applyFont="1" applyBorder="1" applyAlignment="1">
      <alignment horizontal="right" readingOrder="2"/>
    </xf>
    <xf numFmtId="0" fontId="14" fillId="0" borderId="7" xfId="0" applyFont="1" applyBorder="1" applyAlignment="1">
      <alignment horizontal="right" wrapText="1" readingOrder="2"/>
    </xf>
    <xf numFmtId="0" fontId="16" fillId="0" borderId="9" xfId="0" applyFont="1" applyBorder="1" applyAlignment="1">
      <alignment horizontal="right" readingOrder="2"/>
    </xf>
    <xf numFmtId="167" fontId="14" fillId="0" borderId="10" xfId="0" applyNumberFormat="1" applyFont="1" applyBorder="1" applyAlignment="1">
      <alignment horizontal="right" readingOrder="2"/>
    </xf>
    <xf numFmtId="0" fontId="14" fillId="0" borderId="11" xfId="0" applyFont="1" applyBorder="1" applyAlignment="1">
      <alignment horizontal="right" wrapText="1" readingOrder="2"/>
    </xf>
    <xf numFmtId="0" fontId="19" fillId="8" borderId="5" xfId="0" applyFont="1" applyFill="1" applyBorder="1" applyAlignment="1">
      <alignment wrapText="1"/>
    </xf>
    <xf numFmtId="0" fontId="17" fillId="9" borderId="4" xfId="0" applyFont="1" applyFill="1" applyBorder="1" applyAlignment="1">
      <alignment horizontal="right" readingOrder="2"/>
    </xf>
    <xf numFmtId="0" fontId="6" fillId="2" borderId="5" xfId="0" applyFont="1" applyFill="1" applyBorder="1" applyAlignment="1">
      <alignment horizontal="center" wrapText="1"/>
    </xf>
    <xf numFmtId="9" fontId="22" fillId="7" borderId="5" xfId="0" applyNumberFormat="1" applyFont="1" applyFill="1" applyBorder="1"/>
    <xf numFmtId="167" fontId="7" fillId="9" borderId="5" xfId="0" applyNumberFormat="1" applyFont="1" applyFill="1" applyBorder="1"/>
    <xf numFmtId="0" fontId="7" fillId="9" borderId="5" xfId="0" applyFont="1" applyFill="1" applyBorder="1"/>
    <xf numFmtId="167" fontId="5" fillId="0" borderId="5" xfId="0" applyNumberFormat="1" applyFont="1" applyBorder="1" applyAlignment="1">
      <alignment wrapText="1"/>
    </xf>
    <xf numFmtId="167" fontId="2" fillId="0" borderId="5" xfId="0" applyNumberFormat="1" applyFont="1" applyBorder="1" applyAlignment="1">
      <alignment wrapText="1"/>
    </xf>
    <xf numFmtId="167" fontId="7" fillId="7" borderId="5" xfId="0" applyNumberFormat="1" applyFont="1" applyFill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16" fillId="0" borderId="3" xfId="0" applyFont="1" applyBorder="1" applyAlignment="1">
      <alignment horizontal="right" wrapText="1" readingOrder="2"/>
    </xf>
    <xf numFmtId="0" fontId="23" fillId="0" borderId="2" xfId="0" applyFont="1" applyBorder="1" applyAlignment="1">
      <alignment wrapText="1"/>
    </xf>
    <xf numFmtId="0" fontId="23" fillId="0" borderId="7" xfId="0" applyFont="1" applyBorder="1" applyAlignment="1">
      <alignment wrapText="1"/>
    </xf>
    <xf numFmtId="0" fontId="24" fillId="6" borderId="3" xfId="0" applyFont="1" applyFill="1" applyBorder="1" applyAlignment="1">
      <alignment horizontal="right" wrapText="1" readingOrder="2"/>
    </xf>
    <xf numFmtId="167" fontId="0" fillId="5" borderId="5" xfId="0" applyNumberFormat="1" applyFill="1" applyBorder="1"/>
    <xf numFmtId="0" fontId="0" fillId="5" borderId="5" xfId="0" applyFill="1" applyBorder="1" applyAlignment="1">
      <alignment wrapText="1"/>
    </xf>
    <xf numFmtId="167" fontId="14" fillId="0" borderId="5" xfId="0" applyNumberFormat="1" applyFont="1" applyBorder="1"/>
    <xf numFmtId="0" fontId="7" fillId="0" borderId="0" xfId="0" applyFont="1"/>
    <xf numFmtId="4" fontId="0" fillId="0" borderId="0" xfId="0" applyNumberFormat="1"/>
    <xf numFmtId="4" fontId="27" fillId="0" borderId="0" xfId="0" applyNumberFormat="1" applyFont="1"/>
    <xf numFmtId="4" fontId="1" fillId="0" borderId="0" xfId="0" applyNumberFormat="1" applyFont="1"/>
    <xf numFmtId="0" fontId="1" fillId="0" borderId="0" xfId="0" applyFont="1"/>
    <xf numFmtId="169" fontId="11" fillId="0" borderId="5" xfId="0" applyNumberFormat="1" applyFont="1" applyBorder="1" applyAlignment="1">
      <alignment horizontal="right" readingOrder="2"/>
    </xf>
    <xf numFmtId="169" fontId="14" fillId="0" borderId="5" xfId="0" applyNumberFormat="1" applyFont="1" applyBorder="1" applyAlignment="1">
      <alignment horizontal="right" readingOrder="2"/>
    </xf>
    <xf numFmtId="169" fontId="7" fillId="7" borderId="5" xfId="0" applyNumberFormat="1" applyFont="1" applyFill="1" applyBorder="1" applyAlignment="1">
      <alignment horizontal="right" readingOrder="2"/>
    </xf>
    <xf numFmtId="169" fontId="17" fillId="9" borderId="4" xfId="0" applyNumberFormat="1" applyFont="1" applyFill="1" applyBorder="1" applyAlignment="1">
      <alignment horizontal="right" readingOrder="2"/>
    </xf>
    <xf numFmtId="169" fontId="24" fillId="6" borderId="3" xfId="0" applyNumberFormat="1" applyFont="1" applyFill="1" applyBorder="1" applyAlignment="1">
      <alignment horizontal="right" wrapText="1" readingOrder="2"/>
    </xf>
    <xf numFmtId="0" fontId="2" fillId="0" borderId="5" xfId="0" applyFont="1" applyBorder="1" applyAlignment="1">
      <alignment horizontal="center" wrapText="1" readingOrder="2"/>
    </xf>
    <xf numFmtId="0" fontId="7" fillId="7" borderId="5" xfId="0" applyFont="1" applyFill="1" applyBorder="1" applyAlignment="1">
      <alignment horizontal="center" wrapText="1" readingOrder="2"/>
    </xf>
    <xf numFmtId="0" fontId="30" fillId="0" borderId="0" xfId="0" applyFont="1"/>
    <xf numFmtId="0" fontId="13" fillId="0" borderId="0" xfId="0" applyFont="1"/>
    <xf numFmtId="0" fontId="13" fillId="5" borderId="12" xfId="0" applyFont="1" applyFill="1" applyBorder="1" applyAlignment="1">
      <alignment horizontal="center" vertical="center"/>
    </xf>
    <xf numFmtId="0" fontId="31" fillId="0" borderId="12" xfId="0" applyFont="1" applyBorder="1" applyAlignment="1">
      <alignment vertical="center"/>
    </xf>
    <xf numFmtId="169" fontId="31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169" fontId="30" fillId="0" borderId="12" xfId="0" applyNumberFormat="1" applyFont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169" fontId="13" fillId="7" borderId="12" xfId="0" applyNumberFormat="1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169" fontId="13" fillId="0" borderId="12" xfId="0" applyNumberFormat="1" applyFont="1" applyBorder="1" applyAlignment="1">
      <alignment vertical="center"/>
    </xf>
    <xf numFmtId="0" fontId="24" fillId="6" borderId="12" xfId="0" applyFont="1" applyFill="1" applyBorder="1" applyAlignment="1">
      <alignment vertical="center"/>
    </xf>
    <xf numFmtId="169" fontId="24" fillId="6" borderId="12" xfId="0" applyNumberFormat="1" applyFont="1" applyFill="1" applyBorder="1" applyAlignment="1">
      <alignment vertical="center"/>
    </xf>
    <xf numFmtId="0" fontId="33" fillId="6" borderId="12" xfId="0" applyFont="1" applyFill="1" applyBorder="1" applyAlignment="1">
      <alignment vertical="center"/>
    </xf>
    <xf numFmtId="169" fontId="33" fillId="6" borderId="12" xfId="0" applyNumberFormat="1" applyFont="1" applyFill="1" applyBorder="1" applyAlignment="1">
      <alignment vertical="center"/>
    </xf>
    <xf numFmtId="0" fontId="34" fillId="10" borderId="12" xfId="0" applyFont="1" applyFill="1" applyBorder="1" applyAlignment="1">
      <alignment vertical="center"/>
    </xf>
    <xf numFmtId="169" fontId="34" fillId="10" borderId="12" xfId="0" applyNumberFormat="1" applyFont="1" applyFill="1" applyBorder="1" applyAlignment="1">
      <alignment vertical="center"/>
    </xf>
    <xf numFmtId="0" fontId="0" fillId="10" borderId="0" xfId="0" applyFill="1"/>
    <xf numFmtId="0" fontId="3" fillId="2" borderId="0" xfId="0" applyFont="1" applyFill="1"/>
    <xf numFmtId="0" fontId="9" fillId="0" borderId="0" xfId="0" applyFont="1"/>
    <xf numFmtId="0" fontId="32" fillId="0" borderId="0" xfId="0" applyFont="1"/>
    <xf numFmtId="0" fontId="0" fillId="0" borderId="0" xfId="0"/>
    <xf numFmtId="0" fontId="35" fillId="10" borderId="0" xfId="0" applyFont="1" applyFill="1"/>
    <xf numFmtId="0" fontId="36" fillId="10" borderId="0" xfId="0" applyFont="1" applyFill="1"/>
    <xf numFmtId="0" fontId="12" fillId="2" borderId="0" xfId="0" applyFont="1" applyFill="1" applyAlignment="1">
      <alignment horizontal="right" readingOrder="2"/>
    </xf>
    <xf numFmtId="0" fontId="0" fillId="2" borderId="0" xfId="0" applyFill="1" applyAlignment="1">
      <alignment horizontal="right" readingOrder="2"/>
    </xf>
    <xf numFmtId="0" fontId="0" fillId="2" borderId="0" xfId="0" applyFill="1" applyAlignment="1">
      <alignment horizontal="right" wrapText="1" readingOrder="2"/>
    </xf>
    <xf numFmtId="0" fontId="21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167" fontId="20" fillId="0" borderId="2" xfId="0" applyNumberFormat="1" applyFont="1" applyBorder="1" applyAlignment="1">
      <alignment horizontal="center"/>
    </xf>
    <xf numFmtId="0" fontId="1" fillId="0" borderId="2" xfId="0" applyFont="1" applyBorder="1"/>
    <xf numFmtId="167" fontId="25" fillId="6" borderId="2" xfId="0" applyNumberFormat="1" applyFont="1" applyFill="1" applyBorder="1" applyAlignment="1">
      <alignment horizontal="center"/>
    </xf>
    <xf numFmtId="0" fontId="25" fillId="6" borderId="2" xfId="0" applyFont="1" applyFill="1" applyBorder="1"/>
    <xf numFmtId="0" fontId="26" fillId="0" borderId="2" xfId="0" applyFont="1" applyBorder="1"/>
    <xf numFmtId="0" fontId="0" fillId="0" borderId="7" xfId="0" applyBorder="1"/>
    <xf numFmtId="0" fontId="25" fillId="6" borderId="7" xfId="0" applyFont="1" applyFill="1" applyBorder="1"/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/>
    <xf numFmtId="167" fontId="1" fillId="0" borderId="2" xfId="0" applyNumberFormat="1" applyFont="1" applyBorder="1" applyAlignment="1">
      <alignment horizontal="center"/>
    </xf>
    <xf numFmtId="167" fontId="18" fillId="9" borderId="1" xfId="0" applyNumberFormat="1" applyFont="1" applyFill="1" applyBorder="1" applyAlignment="1">
      <alignment horizontal="center"/>
    </xf>
    <xf numFmtId="0" fontId="18" fillId="9" borderId="1" xfId="0" applyFont="1" applyFill="1" applyBorder="1"/>
    <xf numFmtId="0" fontId="18" fillId="9" borderId="6" xfId="0" applyFont="1" applyFill="1" applyBorder="1"/>
    <xf numFmtId="0" fontId="3" fillId="2" borderId="0" xfId="0" applyFont="1" applyFill="1" applyAlignment="1">
      <alignment horizontal="right" readingOrder="2"/>
    </xf>
    <xf numFmtId="0" fontId="1" fillId="0" borderId="5" xfId="0" applyFont="1" applyBorder="1"/>
    <xf numFmtId="0" fontId="1" fillId="6" borderId="5" xfId="0" applyFont="1" applyFill="1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166" fontId="1" fillId="5" borderId="5" xfId="0" applyNumberFormat="1" applyFont="1" applyFill="1" applyBorder="1"/>
    <xf numFmtId="0" fontId="8" fillId="2" borderId="0" xfId="0" applyFont="1" applyFill="1"/>
    <xf numFmtId="0" fontId="0" fillId="2" borderId="0" xfId="0" applyFill="1"/>
    <xf numFmtId="0" fontId="7" fillId="5" borderId="5" xfId="0" applyFont="1" applyFill="1" applyBorder="1" applyAlignment="1">
      <alignment wrapText="1"/>
    </xf>
    <xf numFmtId="0" fontId="0" fillId="0" borderId="0" xfId="0" quotePrefix="1" applyAlignment="1">
      <alignment horizontal="right"/>
    </xf>
    <xf numFmtId="0" fontId="0" fillId="0" borderId="5" xfId="0" applyBorder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8" borderId="5" xfId="0" applyFont="1" applyFill="1" applyBorder="1"/>
    <xf numFmtId="0" fontId="7" fillId="5" borderId="5" xfId="0" applyFont="1" applyFill="1" applyBorder="1" applyAlignment="1">
      <alignment horizontal="center" wrapText="1"/>
    </xf>
    <xf numFmtId="0" fontId="0" fillId="3" borderId="5" xfId="0" applyFill="1" applyBorder="1"/>
    <xf numFmtId="49" fontId="1" fillId="5" borderId="5" xfId="0" applyNumberFormat="1" applyFont="1" applyFill="1" applyBorder="1"/>
    <xf numFmtId="0" fontId="0" fillId="0" borderId="5" xfId="0" applyBorder="1" applyAlignment="1">
      <alignment horizontal="center"/>
    </xf>
    <xf numFmtId="49" fontId="0" fillId="0" borderId="5" xfId="0" applyNumberFormat="1" applyBorder="1"/>
    <xf numFmtId="0" fontId="1" fillId="6" borderId="5" xfId="0" applyFont="1" applyFill="1" applyBorder="1" applyAlignment="1">
      <alignment horizontal="center"/>
    </xf>
    <xf numFmtId="49" fontId="1" fillId="6" borderId="5" xfId="0" applyNumberFormat="1" applyFont="1" applyFill="1" applyBorder="1"/>
    <xf numFmtId="167" fontId="1" fillId="5" borderId="5" xfId="0" applyNumberFormat="1" applyFont="1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167" fontId="0" fillId="5" borderId="5" xfId="0" applyNumberFormat="1" applyFill="1" applyBorder="1"/>
    <xf numFmtId="0" fontId="0" fillId="5" borderId="5" xfId="0" applyFill="1" applyBorder="1" applyAlignment="1">
      <alignment wrapText="1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49" fontId="1" fillId="7" borderId="5" xfId="0" applyNumberFormat="1" applyFont="1" applyFill="1" applyBorder="1"/>
    <xf numFmtId="167" fontId="1" fillId="7" borderId="5" xfId="0" applyNumberFormat="1" applyFont="1" applyFill="1" applyBorder="1"/>
    <xf numFmtId="0" fontId="1" fillId="9" borderId="5" xfId="0" applyFont="1" applyFill="1" applyBorder="1"/>
    <xf numFmtId="167" fontId="1" fillId="9" borderId="5" xfId="0" applyNumberFormat="1" applyFont="1" applyFill="1" applyBorder="1"/>
    <xf numFmtId="0" fontId="1" fillId="7" borderId="5" xfId="0" applyFont="1" applyFill="1" applyBorder="1" applyAlignment="1">
      <alignment wrapText="1"/>
    </xf>
    <xf numFmtId="0" fontId="1" fillId="7" borderId="5" xfId="0" applyFont="1" applyFill="1" applyBorder="1" applyAlignment="1">
      <alignment horizontal="center" wrapText="1"/>
    </xf>
    <xf numFmtId="167" fontId="1" fillId="7" borderId="5" xfId="0" applyNumberFormat="1" applyFont="1" applyFill="1" applyBorder="1" applyAlignment="1">
      <alignment wrapText="1"/>
    </xf>
    <xf numFmtId="0" fontId="0" fillId="5" borderId="5" xfId="0" applyFill="1" applyBorder="1" applyAlignment="1">
      <alignment horizontal="center" wrapText="1"/>
    </xf>
    <xf numFmtId="167" fontId="0" fillId="5" borderId="5" xfId="0" applyNumberFormat="1" applyFill="1" applyBorder="1" applyAlignment="1">
      <alignment wrapText="1"/>
    </xf>
    <xf numFmtId="0" fontId="30" fillId="0" borderId="12" xfId="0" applyFont="1" applyBorder="1" applyAlignment="1">
      <alignment vertical="center" wrapText="1"/>
    </xf>
    <xf numFmtId="0" fontId="13" fillId="5" borderId="12" xfId="0" applyFont="1" applyFill="1" applyBorder="1" applyAlignment="1">
      <alignment vertical="center"/>
    </xf>
    <xf numFmtId="0" fontId="30" fillId="0" borderId="0" xfId="0" applyFont="1" applyAlignment="1"/>
    <xf numFmtId="0" fontId="0" fillId="0" borderId="0" xfId="0" applyAlignment="1"/>
    <xf numFmtId="169" fontId="31" fillId="0" borderId="12" xfId="0" applyNumberFormat="1" applyFont="1" applyBorder="1" applyAlignment="1">
      <alignment horizontal="center" vertical="center"/>
    </xf>
    <xf numFmtId="169" fontId="30" fillId="0" borderId="12" xfId="0" applyNumberFormat="1" applyFont="1" applyBorder="1" applyAlignment="1">
      <alignment horizontal="center" vertical="center"/>
    </xf>
    <xf numFmtId="169" fontId="13" fillId="7" borderId="12" xfId="0" applyNumberFormat="1" applyFont="1" applyFill="1" applyBorder="1" applyAlignment="1">
      <alignment horizontal="center" vertical="center"/>
    </xf>
    <xf numFmtId="169" fontId="34" fillId="10" borderId="12" xfId="0" applyNumberFormat="1" applyFont="1" applyFill="1" applyBorder="1" applyAlignment="1">
      <alignment horizontal="center" vertical="center"/>
    </xf>
    <xf numFmtId="169" fontId="13" fillId="0" borderId="12" xfId="0" applyNumberFormat="1" applyFont="1" applyBorder="1" applyAlignment="1">
      <alignment horizontal="center" vertical="center"/>
    </xf>
    <xf numFmtId="169" fontId="24" fillId="6" borderId="12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vertical="center"/>
    </xf>
    <xf numFmtId="164" fontId="13" fillId="7" borderId="15" xfId="0" applyNumberFormat="1" applyFont="1" applyFill="1" applyBorder="1" applyAlignment="1">
      <alignment vertical="center"/>
    </xf>
    <xf numFmtId="0" fontId="38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38" fillId="5" borderId="13" xfId="0" applyFont="1" applyFill="1" applyBorder="1" applyAlignment="1">
      <alignment horizontal="center"/>
    </xf>
    <xf numFmtId="0" fontId="38" fillId="5" borderId="23" xfId="0" applyFont="1" applyFill="1" applyBorder="1" applyAlignment="1">
      <alignment horizontal="center"/>
    </xf>
    <xf numFmtId="0" fontId="38" fillId="5" borderId="24" xfId="0" applyFont="1" applyFill="1" applyBorder="1" applyAlignment="1">
      <alignment horizontal="center"/>
    </xf>
    <xf numFmtId="0" fontId="37" fillId="0" borderId="20" xfId="0" applyFont="1" applyBorder="1" applyAlignment="1">
      <alignment horizontal="right" vertical="top" wrapText="1"/>
    </xf>
    <xf numFmtId="0" fontId="37" fillId="0" borderId="21" xfId="0" applyFont="1" applyBorder="1" applyAlignment="1">
      <alignment horizontal="right" vertical="top" wrapText="1"/>
    </xf>
    <xf numFmtId="0" fontId="37" fillId="0" borderId="2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B297A4-3C72-4B06-B93B-E2C7BAB589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89068</xdr:colOff>
      <xdr:row>29</xdr:row>
      <xdr:rowOff>243840</xdr:rowOff>
    </xdr:from>
    <xdr:to>
      <xdr:col>0</xdr:col>
      <xdr:colOff>4183381</xdr:colOff>
      <xdr:row>29</xdr:row>
      <xdr:rowOff>2506980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C91FB-5904-73EC-5864-621493E6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690459" y="6995160"/>
          <a:ext cx="4094313" cy="2263140"/>
        </a:xfrm>
        <a:prstGeom prst="rect">
          <a:avLst/>
        </a:prstGeom>
      </xdr:spPr>
    </xdr:pic>
    <xdr:clientData/>
  </xdr:twoCellAnchor>
  <xdr:twoCellAnchor editAs="oneCell">
    <xdr:from>
      <xdr:col>1</xdr:col>
      <xdr:colOff>586740</xdr:colOff>
      <xdr:row>29</xdr:row>
      <xdr:rowOff>91440</xdr:rowOff>
    </xdr:from>
    <xdr:to>
      <xdr:col>3</xdr:col>
      <xdr:colOff>381269</xdr:colOff>
      <xdr:row>29</xdr:row>
      <xdr:rowOff>2720568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A2A8E9-A59B-B0CC-32A1-21BD7C01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5910671" y="6842760"/>
          <a:ext cx="3101609" cy="26291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VID DESIGN" id="{0D5373B4-C14B-485E-996E-2D06DC5E8135}" userId="1ec6454b8fb7a18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9-24T09:02:42.23" personId="{0D5373B4-C14B-485E-996E-2D06DC5E8135}" id="{A3BF385C-CE3A-4D03-979B-25D7B5BD0EE7}">
    <text>Source: مستخلص شركة الرخام.pdf, uploaded 2026-09-24</text>
  </threadedComment>
  <threadedComment ref="A39" dT="2026-09-24T09:11:20.18" personId="{0D5373B4-C14B-485E-996E-2D06DC5E8135}" id="{2C2964F3-245E-4BF0-B03F-867AA7C213E2}">
    <text>Source: صورة كشف الحسابات (كشف الحسابات), uploaded 2026-09-24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6-09-24T10:29:13.72" personId="{0D5373B4-C14B-485E-996E-2D06DC5E8135}" id="{22D63421-715B-491B-B16F-1AA05E3A0B65}">
    <text>Source: عرض سعر التوريد.pdf (عرض سعر توريد)، uploaded 2026-09-24</text>
  </threadedComment>
  <threadedComment ref="A8" dT="2026-09-24T10:31:37.45" personId="{0D5373B4-C14B-485E-996E-2D06DC5E8135}" id="{3D5C859F-297C-4DC2-ABAB-8F1771E76303}">
    <text>Source: Quotation Project 21.09.2026 شركة القص والتركيب.pdf، uploaded 2026-09-24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EDFD2B-7C3A-4A2A-8B7C-4E838C8037A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a7180b-5b1d-4b74-be4b-b3c4181c86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57CF-4AD6-4FF7-B094-9802051D6813}">
  <sheetPr>
    <pageSetUpPr fitToPage="1"/>
  </sheetPr>
  <dimension ref="A1:D32"/>
  <sheetViews>
    <sheetView showGridLines="0" rightToLeft="1" tabSelected="1" workbookViewId="0">
      <selection activeCell="A32" sqref="A1:D32"/>
    </sheetView>
  </sheetViews>
  <sheetFormatPr defaultRowHeight="14.4" x14ac:dyDescent="0.3"/>
  <cols>
    <col min="1" max="1" width="62.33203125" customWidth="1"/>
    <col min="2" max="3" width="24.109375" customWidth="1"/>
    <col min="4" max="4" width="15.21875" style="193" customWidth="1"/>
  </cols>
  <sheetData>
    <row r="1" spans="1:4" ht="28.05" customHeight="1" x14ac:dyDescent="0.35">
      <c r="A1" s="125" t="s">
        <v>171</v>
      </c>
      <c r="B1" s="125"/>
      <c r="C1" s="125"/>
      <c r="D1" s="125"/>
    </row>
    <row r="2" spans="1:4" ht="13.2" customHeight="1" x14ac:dyDescent="0.3">
      <c r="A2" s="126" t="s">
        <v>172</v>
      </c>
      <c r="B2" s="126"/>
      <c r="C2" s="126"/>
      <c r="D2" s="126"/>
    </row>
    <row r="3" spans="1:4" x14ac:dyDescent="0.3">
      <c r="A3" s="109" t="s">
        <v>35</v>
      </c>
      <c r="B3" s="109" t="s">
        <v>161</v>
      </c>
      <c r="C3" s="109" t="s">
        <v>109</v>
      </c>
      <c r="D3" s="191" t="s">
        <v>33</v>
      </c>
    </row>
    <row r="4" spans="1:4" ht="22.05" customHeight="1" x14ac:dyDescent="0.3">
      <c r="A4" s="110" t="s">
        <v>173</v>
      </c>
      <c r="B4" s="111"/>
      <c r="C4" s="111"/>
      <c r="D4" s="194"/>
    </row>
    <row r="5" spans="1:4" ht="22.05" customHeight="1" x14ac:dyDescent="0.3">
      <c r="A5" s="112" t="s">
        <v>106</v>
      </c>
      <c r="B5" s="113">
        <f>'مستخلص الشركة'!I11</f>
      </c>
      <c r="C5" s="113">
        <f>B5*'مستخلص الشركة'!$F$29</f>
      </c>
      <c r="D5" s="195">
        <f>B5+C5</f>
      </c>
    </row>
    <row r="6" spans="1:4" ht="22.05" customHeight="1" x14ac:dyDescent="0.3">
      <c r="A6" s="112" t="s">
        <v>107</v>
      </c>
      <c r="B6" s="113">
        <f>'مستخلص الشركة'!I16</f>
      </c>
      <c r="C6" s="113">
        <f>B6*'مستخلص الشركة'!$F$29</f>
      </c>
      <c r="D6" s="195">
        <f>B6+C6</f>
      </c>
    </row>
    <row r="7" spans="1:4" ht="22.05" customHeight="1" x14ac:dyDescent="0.3">
      <c r="A7" s="112" t="s">
        <v>64</v>
      </c>
      <c r="B7" s="113">
        <f>'مستخلص الشركة'!I21</f>
      </c>
      <c r="C7" s="113">
        <f>B7*'مستخلص الشركة'!$F$29</f>
      </c>
      <c r="D7" s="195">
        <f>B7+C7</f>
      </c>
    </row>
    <row r="8" spans="1:4" ht="22.05" customHeight="1" x14ac:dyDescent="0.3">
      <c r="A8" s="112" t="s">
        <v>68</v>
      </c>
      <c r="B8" s="113">
        <f>'مستخلص الشركة'!I27</f>
      </c>
      <c r="C8" s="113">
        <f>B8*'مستخلص الشركة'!$F$29</f>
      </c>
      <c r="D8" s="195">
        <f>B8+C8</f>
      </c>
    </row>
    <row r="9" spans="1:4" ht="22.05" customHeight="1" x14ac:dyDescent="0.3">
      <c r="A9" s="114" t="s">
        <v>164</v>
      </c>
      <c r="B9" s="115">
        <f>SUM(B5:B8)</f>
      </c>
      <c r="C9" s="115">
        <f>B9*'مستخلص الشركة'!$F$29</f>
      </c>
      <c r="D9" s="196">
        <f>B9+C9</f>
      </c>
    </row>
    <row r="10" spans="1:4" ht="22.05" customHeight="1" x14ac:dyDescent="0.3">
      <c r="A10" s="110" t="s">
        <v>174</v>
      </c>
      <c r="B10" s="111"/>
      <c r="C10" s="111"/>
      <c r="D10" s="194"/>
    </row>
    <row r="11" spans="1:4" x14ac:dyDescent="0.3">
      <c r="A11" s="190" t="s">
        <v>190</v>
      </c>
      <c r="B11" s="113">
        <f>'أعمال الأرضي المتبقية'!G5</f>
      </c>
      <c r="C11" s="113">
        <f>B11*'مستخلص الشركة'!$F$29</f>
      </c>
      <c r="D11" s="195">
        <f>B11+C11</f>
      </c>
    </row>
    <row r="12" spans="1:4" x14ac:dyDescent="0.3">
      <c r="A12" s="190" t="s">
        <v>192</v>
      </c>
      <c r="B12" s="113">
        <f>'أعمال الأرضي المتبقية'!G6</f>
      </c>
      <c r="C12" s="113">
        <f>B12*'مستخلص الشركة'!$F$29</f>
      </c>
      <c r="D12" s="195">
        <f>B12+C12</f>
      </c>
    </row>
    <row r="13" spans="1:4" ht="22.05" customHeight="1" x14ac:dyDescent="0.3">
      <c r="A13" s="112" t="s">
        <v>175</v>
      </c>
      <c r="B13" s="113">
        <f>'أعمال الأرضي المتبقية'!G12</f>
      </c>
      <c r="C13" s="113">
        <f>B13*'مستخلص الشركة'!$F$29</f>
      </c>
      <c r="D13" s="195">
        <f>B13+C13</f>
      </c>
    </row>
    <row r="14" spans="1:4" ht="22.05" customHeight="1" x14ac:dyDescent="0.3">
      <c r="A14" s="114" t="s">
        <v>176</v>
      </c>
      <c r="B14" s="115">
        <f>SUM(B11:B13)</f>
      </c>
      <c r="C14" s="115">
        <f>B14*'مستخلص الشركة'!$F$29</f>
      </c>
      <c r="D14" s="196">
        <f>B14+C14</f>
      </c>
    </row>
    <row r="15" spans="1:4" s="124" customFormat="1" ht="22.05" customHeight="1" x14ac:dyDescent="0.3">
      <c r="A15" s="122" t="s">
        <v>177</v>
      </c>
      <c r="B15" s="123">
        <f>B9+B14</f>
      </c>
      <c r="C15" s="123">
        <f>B15*'مستخلص الشركة'!$F$29</f>
      </c>
      <c r="D15" s="197">
        <f>B15+C15</f>
      </c>
    </row>
    <row r="16" spans="1:4" ht="22.05" customHeight="1" x14ac:dyDescent="0.3">
      <c r="A16" s="116" t="s">
        <v>178</v>
      </c>
      <c r="B16" s="117"/>
      <c r="C16" s="117"/>
      <c r="D16" s="198">
        <f>'مستخلص الشركة'!I43</f>
      </c>
    </row>
    <row r="17" spans="1:4" ht="14.4" customHeight="1" x14ac:dyDescent="0.3">
      <c r="A17" s="118" t="s">
        <v>181</v>
      </c>
      <c r="B17" s="119"/>
      <c r="C17" s="119"/>
      <c r="D17" s="199">
        <f>D15-D16</f>
      </c>
    </row>
    <row r="18" spans="1:4" ht="15" customHeight="1" x14ac:dyDescent="0.3">
      <c r="A18" s="108" t="s">
        <v>179</v>
      </c>
      <c r="B18" s="107"/>
      <c r="C18" s="107"/>
      <c r="D18" s="192"/>
    </row>
    <row r="19" spans="1:4" x14ac:dyDescent="0.3">
      <c r="A19" s="127" t="s">
        <v>180</v>
      </c>
      <c r="B19" s="128"/>
      <c r="C19" s="128"/>
      <c r="D19" s="128"/>
    </row>
    <row r="20" spans="1:4" x14ac:dyDescent="0.3">
      <c r="A20" s="127" t="str">
        <f>"• المبالغ المحولة تشمل 3 دفعات: "&amp;TEXT('مستخلص الشركة'!I40,"#,##0")&amp;" + "&amp;TEXT('مستخلص الشركة'!I41,"#,##0")&amp;" + "&amp;TEXT('مستخلص الشركة'!I42,"#,##0")&amp;" ر.س."</f>
      </c>
      <c r="B20" s="128"/>
      <c r="C20" s="128"/>
      <c r="D20" s="128"/>
    </row>
    <row r="21" spans="1:4" x14ac:dyDescent="0.3">
      <c r="A21" s="127" t="s">
        <v>187</v>
      </c>
      <c r="B21" s="128"/>
      <c r="C21" s="128"/>
      <c r="D21" s="128"/>
    </row>
    <row r="22" spans="1:4" x14ac:dyDescent="0.3">
      <c r="A22" s="127" t="s">
        <v>193</v>
      </c>
      <c r="B22" s="128"/>
      <c r="C22" s="128"/>
      <c r="D22" s="128"/>
    </row>
    <row r="23" spans="1:4" s="124" customFormat="1" ht="18" x14ac:dyDescent="0.35">
      <c r="A23" s="129" t="s">
        <v>182</v>
      </c>
      <c r="B23" s="130"/>
      <c r="C23" s="130"/>
      <c r="D23" s="130"/>
    </row>
    <row r="24" spans="1:4" x14ac:dyDescent="0.3">
      <c r="A24" s="109" t="s">
        <v>35</v>
      </c>
      <c r="B24" s="109" t="s">
        <v>161</v>
      </c>
      <c r="C24" s="109" t="s">
        <v>109</v>
      </c>
      <c r="D24" s="191" t="s">
        <v>33</v>
      </c>
    </row>
    <row r="25" spans="1:4" ht="22.05" customHeight="1" x14ac:dyDescent="0.3">
      <c r="A25" s="112" t="s">
        <v>183</v>
      </c>
      <c r="B25" s="113">
        <f>'مستخلص الرخام'!H13</f>
      </c>
      <c r="C25" s="113">
        <f>'مستخلص الرخام'!H14</f>
      </c>
      <c r="D25" s="113">
        <f>'مستخلص الرخام'!H15</f>
      </c>
    </row>
    <row r="26" spans="1:4" ht="22.05" customHeight="1" x14ac:dyDescent="0.3">
      <c r="A26" s="112" t="s">
        <v>184</v>
      </c>
      <c r="B26" s="113">
        <f>B15</f>
      </c>
      <c r="C26" s="113">
        <f>C15</f>
      </c>
      <c r="D26" s="113">
        <f>D15</f>
      </c>
    </row>
    <row r="27" spans="1:4" ht="16.2" customHeight="1" x14ac:dyDescent="0.3">
      <c r="A27" s="120" t="s">
        <v>188</v>
      </c>
      <c r="B27" s="121">
        <f>B25-B26</f>
      </c>
      <c r="C27" s="121">
        <f>C25-C26</f>
      </c>
      <c r="D27" s="121">
        <f>D25-D26</f>
      </c>
    </row>
    <row r="28" spans="1:4" ht="16.8" customHeight="1" x14ac:dyDescent="0.3">
      <c r="A28" s="200" t="s">
        <v>185</v>
      </c>
      <c r="B28" s="201">
        <f>IF(B25=0,0,B27/B25)</f>
      </c>
      <c r="C28" s="201">
        <f>IF(C25=0,0,C27/C25)</f>
      </c>
      <c r="D28" s="201"/>
    </row>
    <row r="29" spans="1:4" x14ac:dyDescent="0.3">
      <c r="A29" s="202" t="s">
        <v>194</v>
      </c>
      <c r="B29" s="203" t="s">
        <v>195</v>
      </c>
      <c r="C29" s="203"/>
      <c r="D29" s="203"/>
    </row>
    <row r="30" spans="1:4" ht="223.8" customHeight="1" x14ac:dyDescent="0.3">
      <c r="A30" s="204"/>
      <c r="B30" s="205"/>
      <c r="C30" s="206"/>
      <c r="D30" s="207"/>
    </row>
    <row r="31" spans="1:4" x14ac:dyDescent="0.3">
      <c r="A31" s="209" t="s">
        <v>196</v>
      </c>
      <c r="B31" s="208"/>
      <c r="C31" s="208"/>
      <c r="D31" s="210"/>
    </row>
    <row r="32" spans="1:4" ht="90" customHeight="1" x14ac:dyDescent="0.3">
      <c r="A32" s="212"/>
      <c r="B32" s="211"/>
      <c r="C32" s="211"/>
      <c r="D32" s="213"/>
    </row>
  </sheetData>
  <mergeCells count="11">
    <mergeCell ref="A32:D32"/>
    <mergeCell ref="A23:D23"/>
    <mergeCell ref="A22:D22"/>
    <mergeCell ref="B29:D29"/>
    <mergeCell ref="B30:D30"/>
    <mergeCell ref="A31:D31"/>
    <mergeCell ref="A1:D1"/>
    <mergeCell ref="A2:D2"/>
    <mergeCell ref="A19:D19"/>
    <mergeCell ref="A20:D20"/>
    <mergeCell ref="A21:D21"/>
  </mergeCells>
  <pageMargins left="0.7" right="0.7" top="0.75" bottom="0.75" header="0.3" footer="0.3"/>
  <pageSetup scale="97" fitToHeight="0" orientation="landscape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8B77-BB10-4029-AB6E-E2F268E52667}">
  <sheetPr>
    <pageSetUpPr fitToPage="1"/>
  </sheetPr>
  <dimension ref="A1:E68"/>
  <sheetViews>
    <sheetView rightToLeft="1" topLeftCell="A6" zoomScale="85" zoomScaleNormal="85" workbookViewId="0">
      <selection activeCell="A18" sqref="A18"/>
    </sheetView>
  </sheetViews>
  <sheetFormatPr defaultRowHeight="14.4" x14ac:dyDescent="0.3"/>
  <cols>
    <col min="1" max="1" width="67.88671875" style="50" customWidth="1"/>
    <col min="2" max="2" width="20.33203125" style="50" customWidth="1"/>
    <col min="3" max="3" width="22.21875" style="50" customWidth="1"/>
    <col min="4" max="4" width="18.5546875" style="50" customWidth="1"/>
    <col min="5" max="5" width="27.44140625" style="50" customWidth="1"/>
    <col min="6" max="16384" width="8.88671875" style="43"/>
  </cols>
  <sheetData>
    <row r="1" spans="1:5" ht="18" x14ac:dyDescent="0.35">
      <c r="A1" s="151" t="s">
        <v>155</v>
      </c>
      <c r="B1" s="132"/>
      <c r="C1" s="132"/>
      <c r="D1" s="132"/>
      <c r="E1" s="132"/>
    </row>
    <row r="2" spans="1:5" x14ac:dyDescent="0.3">
      <c r="A2" s="131" t="s">
        <v>100</v>
      </c>
      <c r="B2" s="132"/>
      <c r="C2" s="132"/>
      <c r="D2" s="132"/>
      <c r="E2" s="133"/>
    </row>
    <row r="3" spans="1:5" x14ac:dyDescent="0.3">
      <c r="A3" s="44" t="s">
        <v>35</v>
      </c>
      <c r="B3" s="44" t="s">
        <v>101</v>
      </c>
      <c r="C3" s="44" t="s">
        <v>102</v>
      </c>
      <c r="D3" s="44" t="s">
        <v>103</v>
      </c>
      <c r="E3" s="45" t="s">
        <v>51</v>
      </c>
    </row>
    <row r="4" spans="1:5" x14ac:dyDescent="0.3">
      <c r="A4" s="46" t="s">
        <v>104</v>
      </c>
      <c r="B4" s="47">
        <f>'مستخلص الرخام'!H15</f>
      </c>
      <c r="C4" s="47">
        <f>'مستخلص الرخام'!H15</f>
      </c>
      <c r="D4" s="48">
        <f>C4-B4</f>
      </c>
      <c r="E4" s="49"/>
    </row>
    <row r="5" spans="1:5" x14ac:dyDescent="0.3">
      <c r="E5" s="51"/>
    </row>
    <row r="6" spans="1:5" x14ac:dyDescent="0.3">
      <c r="A6" s="131" t="s">
        <v>105</v>
      </c>
      <c r="B6" s="132"/>
      <c r="C6" s="132"/>
      <c r="D6" s="132"/>
      <c r="E6" s="133"/>
    </row>
    <row r="7" spans="1:5" x14ac:dyDescent="0.3">
      <c r="A7" s="44" t="s">
        <v>35</v>
      </c>
      <c r="B7" s="44" t="s">
        <v>101</v>
      </c>
      <c r="C7" s="44" t="s">
        <v>102</v>
      </c>
      <c r="D7" s="44" t="s">
        <v>103</v>
      </c>
      <c r="E7" s="45" t="s">
        <v>51</v>
      </c>
    </row>
    <row r="8" spans="1:5" x14ac:dyDescent="0.3">
      <c r="A8" s="46" t="s">
        <v>106</v>
      </c>
      <c r="B8" s="47">
        <f>'مستخلص الشركة'!G11</f>
      </c>
      <c r="C8" s="47">
        <f>'مستخلص الشركة'!I11</f>
      </c>
      <c r="D8" s="48">
        <f t="shared" ref="D8:D14" si="0">C8-B8</f>
      </c>
      <c r="E8" s="49"/>
    </row>
    <row r="9" spans="1:5" x14ac:dyDescent="0.3">
      <c r="A9" s="46" t="s">
        <v>107</v>
      </c>
      <c r="B9" s="47">
        <f>'مستخلص الشركة'!G16</f>
      </c>
      <c r="C9" s="47">
        <f>'مستخلص الشركة'!I16</f>
      </c>
      <c r="D9" s="48">
        <f t="shared" si="0"/>
      </c>
      <c r="E9" s="49"/>
    </row>
    <row r="10" spans="1:5" x14ac:dyDescent="0.3">
      <c r="A10" s="46" t="s">
        <v>64</v>
      </c>
      <c r="B10" s="47">
        <f>'مستخلص الشركة'!G21</f>
      </c>
      <c r="C10" s="47">
        <f>'مستخلص الشركة'!I21</f>
      </c>
      <c r="D10" s="48">
        <f t="shared" si="0"/>
      </c>
      <c r="E10" s="49"/>
    </row>
    <row r="11" spans="1:5" x14ac:dyDescent="0.3">
      <c r="A11" s="46" t="s">
        <v>68</v>
      </c>
      <c r="B11" s="47">
        <f>'مستخلص الشركة'!G27</f>
      </c>
      <c r="C11" s="47">
        <f>'مستخلص الشركة'!I27</f>
      </c>
      <c r="D11" s="48">
        <f t="shared" si="0"/>
      </c>
      <c r="E11" s="49"/>
    </row>
    <row r="12" spans="1:5" x14ac:dyDescent="0.3">
      <c r="A12" s="52" t="s">
        <v>108</v>
      </c>
      <c r="B12" s="53">
        <f>SUM(B8:B11)</f>
      </c>
      <c r="C12" s="53">
        <f>SUM(C8:C11)</f>
      </c>
      <c r="D12" s="53">
        <f t="shared" si="0"/>
      </c>
      <c r="E12" s="54"/>
    </row>
    <row r="13" spans="1:5" x14ac:dyDescent="0.3">
      <c r="A13" s="46" t="s">
        <v>109</v>
      </c>
      <c r="B13" s="47">
        <f>'مستخلص الشركة'!G29</f>
      </c>
      <c r="C13" s="47">
        <f>'مستخلص الشركة'!I29</f>
      </c>
      <c r="D13" s="48">
        <f t="shared" si="0"/>
      </c>
      <c r="E13" s="49"/>
    </row>
    <row r="14" spans="1:5" x14ac:dyDescent="0.3">
      <c r="A14" s="52" t="s">
        <v>110</v>
      </c>
      <c r="B14" s="53">
        <f>B12+B13</f>
      </c>
      <c r="C14" s="53">
        <f>C12+C13</f>
      </c>
      <c r="D14" s="53">
        <f t="shared" si="0"/>
      </c>
      <c r="E14" s="54"/>
    </row>
    <row r="15" spans="1:5" x14ac:dyDescent="0.3">
      <c r="E15" s="51"/>
    </row>
    <row r="16" spans="1:5" x14ac:dyDescent="0.3">
      <c r="A16" s="131" t="s">
        <v>111</v>
      </c>
      <c r="B16" s="132"/>
      <c r="C16" s="132"/>
      <c r="D16" s="132"/>
      <c r="E16" s="133"/>
    </row>
    <row r="17" spans="1:5" x14ac:dyDescent="0.3">
      <c r="A17" s="44" t="s">
        <v>35</v>
      </c>
      <c r="B17" s="44" t="s">
        <v>101</v>
      </c>
      <c r="C17" s="44" t="s">
        <v>102</v>
      </c>
      <c r="D17" s="44" t="s">
        <v>103</v>
      </c>
      <c r="E17" s="45" t="s">
        <v>51</v>
      </c>
    </row>
    <row r="18" spans="1:5" x14ac:dyDescent="0.3">
      <c r="A18" s="46" t="s">
        <v>112</v>
      </c>
      <c r="B18" s="47">
        <f>'مستخلص الشركة'!I40</f>
      </c>
      <c r="C18" s="47">
        <f>'مستخلص الشركة'!I40</f>
      </c>
      <c r="D18" s="48">
        <f>C18-B18</f>
      </c>
      <c r="E18" s="49"/>
    </row>
    <row r="19" spans="1:5" x14ac:dyDescent="0.3">
      <c r="A19" s="46" t="s">
        <v>113</v>
      </c>
      <c r="B19" s="48">
        <v>0</v>
      </c>
      <c r="C19" s="47">
        <f>'مستخلص الشركة'!I41</f>
      </c>
      <c r="D19" s="48">
        <f>C19-B19</f>
      </c>
      <c r="E19" s="49" t="s">
        <v>114</v>
      </c>
    </row>
    <row r="20" spans="1:5" x14ac:dyDescent="0.3">
      <c r="A20" s="46" t="s">
        <v>115</v>
      </c>
      <c r="B20" s="47">
        <f>'مستخلص الشركة'!I42</f>
      </c>
      <c r="C20" s="47">
        <f>'مستخلص الشركة'!I42</f>
      </c>
      <c r="D20" s="48">
        <f>C20-B20</f>
      </c>
      <c r="E20" s="49"/>
    </row>
    <row r="21" spans="1:5" x14ac:dyDescent="0.3">
      <c r="A21" s="52" t="s">
        <v>90</v>
      </c>
      <c r="B21" s="53">
        <f>SUM(B18:B20)</f>
      </c>
      <c r="C21" s="53">
        <f>SUM(C18:C20)</f>
      </c>
      <c r="D21" s="53">
        <f>C21-B21</f>
      </c>
      <c r="E21" s="54"/>
    </row>
    <row r="22" spans="1:5" x14ac:dyDescent="0.3">
      <c r="E22" s="51"/>
    </row>
    <row r="23" spans="1:5" x14ac:dyDescent="0.3">
      <c r="A23" s="131" t="s">
        <v>116</v>
      </c>
      <c r="B23" s="132"/>
      <c r="C23" s="132"/>
      <c r="D23" s="132"/>
      <c r="E23" s="133"/>
    </row>
    <row r="24" spans="1:5" x14ac:dyDescent="0.3">
      <c r="A24" s="44" t="s">
        <v>35</v>
      </c>
      <c r="B24" s="44" t="s">
        <v>101</v>
      </c>
      <c r="C24" s="44" t="s">
        <v>102</v>
      </c>
      <c r="D24" s="44" t="s">
        <v>103</v>
      </c>
      <c r="E24" s="45" t="s">
        <v>51</v>
      </c>
    </row>
    <row r="25" spans="1:5" ht="28.2" x14ac:dyDescent="0.3">
      <c r="A25" s="55" t="s">
        <v>117</v>
      </c>
      <c r="B25" s="56">
        <f>B21-B14</f>
      </c>
      <c r="C25" s="56">
        <f>C21-C14</f>
      </c>
      <c r="D25" s="56">
        <f>C25-B25</f>
      </c>
      <c r="E25" s="57" t="s">
        <v>118</v>
      </c>
    </row>
    <row r="26" spans="1:5" x14ac:dyDescent="0.3">
      <c r="A26" s="46" t="s">
        <v>119</v>
      </c>
      <c r="B26" s="58">
        <f>B14/B4</f>
      </c>
      <c r="C26" s="58">
        <f>C14/C4</f>
      </c>
      <c r="D26" s="48"/>
      <c r="E26" s="49"/>
    </row>
    <row r="27" spans="1:5" x14ac:dyDescent="0.3">
      <c r="A27" s="46" t="s">
        <v>120</v>
      </c>
      <c r="B27" s="58">
        <f>B21/B4</f>
      </c>
      <c r="C27" s="58">
        <f>C21/C4</f>
      </c>
      <c r="D27" s="48"/>
      <c r="E27" s="49"/>
    </row>
    <row r="28" spans="1:5" ht="15" thickBot="1" x14ac:dyDescent="0.35">
      <c r="A28" s="68" t="s">
        <v>121</v>
      </c>
      <c r="B28" s="69">
        <f>B4-B21</f>
      </c>
      <c r="C28" s="70">
        <f>C4-C21</f>
      </c>
      <c r="D28" s="69">
        <f>C28-B28</f>
      </c>
      <c r="E28" s="71" t="s">
        <v>122</v>
      </c>
    </row>
    <row r="29" spans="1:5" s="67" customFormat="1" ht="22.05" customHeight="1" thickTop="1" x14ac:dyDescent="0.3">
      <c r="A29" s="75" t="s">
        <v>124</v>
      </c>
      <c r="B29" s="145">
        <f>B25</f>
      </c>
      <c r="C29" s="146"/>
      <c r="D29" s="76"/>
      <c r="E29" s="77"/>
    </row>
    <row r="30" spans="1:5" s="67" customFormat="1" ht="22.05" customHeight="1" x14ac:dyDescent="0.3">
      <c r="A30" s="72" t="s">
        <v>147</v>
      </c>
      <c r="B30" s="147">
        <f>D25</f>
      </c>
      <c r="C30" s="137"/>
      <c r="D30" s="73"/>
      <c r="E30" s="74"/>
    </row>
    <row r="31" spans="1:5" s="67" customFormat="1" ht="22.05" customHeight="1" x14ac:dyDescent="0.35">
      <c r="A31" s="79" t="s">
        <v>125</v>
      </c>
      <c r="B31" s="148">
        <f>B29+B30</f>
      </c>
      <c r="C31" s="149"/>
      <c r="D31" s="149" t="str">
        <f>IF(ROUND(B31-C25,2)=0,"يطابق الرصيد الصحيح بالموقف المالي","مراجعة")</f>
      </c>
      <c r="E31" s="150"/>
    </row>
    <row r="32" spans="1:5" s="67" customFormat="1" ht="22.05" customHeight="1" x14ac:dyDescent="0.3">
      <c r="A32" s="88" t="s">
        <v>137</v>
      </c>
      <c r="B32" s="136">
        <f>'أعمال الأرضي المتبقية'!G7*(1+'أعمال الأرضي المتبقية'!F15)</f>
      </c>
      <c r="C32" s="137"/>
      <c r="D32" s="89"/>
      <c r="E32" s="90"/>
    </row>
    <row r="33" spans="1:5" s="67" customFormat="1" ht="22.05" customHeight="1" x14ac:dyDescent="0.3">
      <c r="A33" s="88" t="s">
        <v>138</v>
      </c>
      <c r="B33" s="136">
        <f>'أعمال الأرضي المتبقية'!G12*(1+'أعمال الأرضي المتبقية'!F15)</f>
      </c>
      <c r="C33" s="137"/>
      <c r="D33" s="140" t="s">
        <v>145</v>
      </c>
      <c r="E33" s="141"/>
    </row>
    <row r="34" spans="1:5" s="67" customFormat="1" ht="22.05" customHeight="1" x14ac:dyDescent="0.35">
      <c r="A34" s="91" t="s">
        <v>154</v>
      </c>
      <c r="B34" s="138">
        <f>B31-B32-B33</f>
      </c>
      <c r="C34" s="139"/>
      <c r="D34" s="139" t="str">
        <f>IF(B34&gt;=0,"لصالح المالك","مستحق لشركة الرخام")</f>
      </c>
      <c r="E34" s="142"/>
    </row>
    <row r="35" spans="1:5" x14ac:dyDescent="0.3">
      <c r="E35" s="51"/>
    </row>
    <row r="36" spans="1:5" x14ac:dyDescent="0.3">
      <c r="A36" s="131" t="s">
        <v>123</v>
      </c>
      <c r="B36" s="132"/>
      <c r="C36" s="132"/>
      <c r="D36" s="132"/>
      <c r="E36" s="133"/>
    </row>
    <row r="37" spans="1:5" ht="30" customHeight="1" x14ac:dyDescent="0.3">
      <c r="A37" s="143" t="s">
        <v>159</v>
      </c>
      <c r="B37" s="144"/>
      <c r="C37" s="144"/>
      <c r="D37" s="144"/>
      <c r="E37" s="143"/>
    </row>
    <row r="38" spans="1:5" ht="20.399999999999999" customHeight="1" x14ac:dyDescent="0.3">
      <c r="A38" s="134" t="s">
        <v>127</v>
      </c>
      <c r="B38" s="135"/>
      <c r="C38" s="135"/>
      <c r="D38" s="135"/>
      <c r="E38" s="135"/>
    </row>
    <row r="40" spans="1:5" x14ac:dyDescent="0.3">
      <c r="A40" s="131" t="s">
        <v>160</v>
      </c>
      <c r="B40" s="132"/>
      <c r="C40" s="132"/>
      <c r="D40" s="132"/>
      <c r="E40" s="133"/>
    </row>
    <row r="41" spans="1:5" x14ac:dyDescent="0.3">
      <c r="A41" s="44" t="s">
        <v>45</v>
      </c>
      <c r="B41" s="44" t="s">
        <v>161</v>
      </c>
      <c r="C41" s="44" t="s">
        <v>74</v>
      </c>
      <c r="D41" s="44" t="s">
        <v>33</v>
      </c>
      <c r="E41" s="45" t="s">
        <v>162</v>
      </c>
    </row>
    <row r="42" spans="1:5" x14ac:dyDescent="0.3">
      <c r="A42" s="52" t="s">
        <v>163</v>
      </c>
      <c r="B42" s="102"/>
      <c r="C42" s="102"/>
      <c r="D42" s="102"/>
      <c r="E42" s="54"/>
    </row>
    <row r="43" spans="1:5" x14ac:dyDescent="0.3">
      <c r="A43" s="49" t="str">
        <f>'مستخلص الشركة'!B6&amp;" – "&amp;'مستخلص الشركة'!C6</f>
      </c>
      <c r="B43" s="100">
        <f>'مستخلص الشركة'!I6</f>
      </c>
      <c r="C43" s="101">
        <f>B43*'مستخلص الشركة'!$F$29</f>
      </c>
      <c r="D43" s="101">
        <f t="shared" ref="D43:D56" si="1">B43+C43</f>
      </c>
      <c r="E43" s="105" t="str">
        <f>TEXT('مستخلص الشركة'!H6,"#,##0.00")&amp;" "&amp;'مستخلص الشركة'!D6&amp;" × "&amp;TEXT('مستخلص الشركة'!F6,"#,##0")</f>
      </c>
    </row>
    <row r="44" spans="1:5" x14ac:dyDescent="0.3">
      <c r="A44" s="49" t="str">
        <f>'مستخلص الشركة'!B7&amp;" – "&amp;'مستخلص الشركة'!C7</f>
      </c>
      <c r="B44" s="100">
        <f>'مستخلص الشركة'!I7</f>
      </c>
      <c r="C44" s="101">
        <f>B44*'مستخلص الشركة'!$F$29</f>
      </c>
      <c r="D44" s="101">
        <f t="shared" si="1"/>
      </c>
      <c r="E44" s="105" t="str">
        <f>TEXT('مستخلص الشركة'!H7,"#,##0.00")&amp;" "&amp;'مستخلص الشركة'!D7&amp;" × "&amp;TEXT('مستخلص الشركة'!F7,"#,##0")</f>
      </c>
    </row>
    <row r="45" spans="1:5" x14ac:dyDescent="0.3">
      <c r="A45" s="49" t="str">
        <f>'مستخلص الشركة'!B8&amp;" – "&amp;'مستخلص الشركة'!C8</f>
      </c>
      <c r="B45" s="100">
        <f>'مستخلص الشركة'!I8</f>
      </c>
      <c r="C45" s="101">
        <f>B45*'مستخلص الشركة'!$F$29</f>
      </c>
      <c r="D45" s="101">
        <f t="shared" si="1"/>
      </c>
      <c r="E45" s="105" t="str">
        <f>TEXT('مستخلص الشركة'!H8,"#,##0.00")&amp;" "&amp;'مستخلص الشركة'!D8&amp;" × "&amp;TEXT('مستخلص الشركة'!F8,"#,##0")</f>
      </c>
    </row>
    <row r="46" spans="1:5" x14ac:dyDescent="0.3">
      <c r="A46" s="49" t="str">
        <f>'مستخلص الشركة'!B9&amp;" – "&amp;'مستخلص الشركة'!C9</f>
      </c>
      <c r="B46" s="100">
        <f>'مستخلص الشركة'!I9</f>
      </c>
      <c r="C46" s="101">
        <f>B46*'مستخلص الشركة'!$F$29</f>
      </c>
      <c r="D46" s="101">
        <f t="shared" si="1"/>
      </c>
      <c r="E46" s="105" t="str">
        <f>TEXT('مستخلص الشركة'!H9,"#,##0.00")&amp;" "&amp;'مستخلص الشركة'!D9&amp;" × "&amp;TEXT('مستخلص الشركة'!F9,"#,##0")</f>
      </c>
    </row>
    <row r="47" spans="1:5" x14ac:dyDescent="0.3">
      <c r="A47" s="49" t="str">
        <f>'مستخلص الشركة'!B13&amp;" – "&amp;'مستخلص الشركة'!C13</f>
      </c>
      <c r="B47" s="100">
        <f>'مستخلص الشركة'!I13</f>
      </c>
      <c r="C47" s="101">
        <f>B47*'مستخلص الشركة'!$F$29</f>
      </c>
      <c r="D47" s="101">
        <f t="shared" si="1"/>
      </c>
      <c r="E47" s="105" t="str">
        <f>TEXT('مستخلص الشركة'!H13,"#,##0.00")&amp;" "&amp;'مستخلص الشركة'!D13&amp;" × "&amp;TEXT('مستخلص الشركة'!F13,"#,##0")</f>
      </c>
    </row>
    <row r="48" spans="1:5" x14ac:dyDescent="0.3">
      <c r="A48" s="49" t="str">
        <f>'مستخلص الشركة'!B14&amp;" – "&amp;'مستخلص الشركة'!C14</f>
      </c>
      <c r="B48" s="100">
        <f>'مستخلص الشركة'!I14</f>
      </c>
      <c r="C48" s="101">
        <f>B48*'مستخلص الشركة'!$F$29</f>
      </c>
      <c r="D48" s="101">
        <f t="shared" si="1"/>
      </c>
      <c r="E48" s="105" t="str">
        <f>TEXT('مستخلص الشركة'!H14,"#,##0.00")&amp;" "&amp;'مستخلص الشركة'!D14&amp;" × "&amp;TEXT('مستخلص الشركة'!F14,"#,##0")</f>
      </c>
    </row>
    <row r="49" spans="1:5" x14ac:dyDescent="0.3">
      <c r="A49" s="49" t="str">
        <f>'مستخلص الشركة'!B15&amp;" – "&amp;'مستخلص الشركة'!C15</f>
      </c>
      <c r="B49" s="100">
        <f>'مستخلص الشركة'!I15</f>
      </c>
      <c r="C49" s="101">
        <f>B49*'مستخلص الشركة'!$F$29</f>
      </c>
      <c r="D49" s="101">
        <f t="shared" si="1"/>
      </c>
      <c r="E49" s="105" t="str">
        <f>TEXT('مستخلص الشركة'!H15,"#,##0.00")&amp;" "&amp;'مستخلص الشركة'!D15&amp;" × "&amp;TEXT('مستخلص الشركة'!F15,"#,##0")</f>
      </c>
    </row>
    <row r="50" spans="1:5" x14ac:dyDescent="0.3">
      <c r="A50" s="49" t="str">
        <f>'مستخلص الشركة'!B18&amp;" – "&amp;'مستخلص الشركة'!C18</f>
      </c>
      <c r="B50" s="100">
        <f>'مستخلص الشركة'!I18</f>
      </c>
      <c r="C50" s="101">
        <f>B50*'مستخلص الشركة'!$F$29</f>
      </c>
      <c r="D50" s="101">
        <f t="shared" si="1"/>
      </c>
      <c r="E50" s="105" t="str">
        <f>TEXT('مستخلص الشركة'!H18,"#,##0.00")&amp;" "&amp;'مستخلص الشركة'!D18&amp;" × "&amp;TEXT('مستخلص الشركة'!F18,"#,##0")</f>
      </c>
    </row>
    <row r="51" spans="1:5" x14ac:dyDescent="0.3">
      <c r="A51" s="49" t="str">
        <f>'مستخلص الشركة'!B19&amp;" – "&amp;'مستخلص الشركة'!C19</f>
      </c>
      <c r="B51" s="100">
        <f>'مستخلص الشركة'!I19</f>
      </c>
      <c r="C51" s="101">
        <f>B51*'مستخلص الشركة'!$F$29</f>
      </c>
      <c r="D51" s="101">
        <f t="shared" si="1"/>
      </c>
      <c r="E51" s="105" t="str">
        <f>TEXT('مستخلص الشركة'!H19,"#,##0.00")&amp;" "&amp;'مستخلص الشركة'!D19&amp;" × "&amp;TEXT('مستخلص الشركة'!F19,"#,##0")</f>
      </c>
    </row>
    <row r="52" spans="1:5" x14ac:dyDescent="0.3">
      <c r="A52" s="49" t="str">
        <f>'مستخلص الشركة'!B20&amp;" – "&amp;'مستخلص الشركة'!C20</f>
      </c>
      <c r="B52" s="100">
        <f>'مستخلص الشركة'!I20</f>
      </c>
      <c r="C52" s="101">
        <f>B52*'مستخلص الشركة'!$F$29</f>
      </c>
      <c r="D52" s="101">
        <f t="shared" si="1"/>
      </c>
      <c r="E52" s="105" t="str">
        <f>TEXT('مستخلص الشركة'!H20,"#,##0.00")&amp;" "&amp;'مستخلص الشركة'!D20&amp;" × "&amp;TEXT('مستخلص الشركة'!F20,"#,##0")</f>
      </c>
    </row>
    <row r="53" spans="1:5" x14ac:dyDescent="0.3">
      <c r="A53" s="49" t="str">
        <f>'مستخلص الشركة'!B23&amp;" – "&amp;'مستخلص الشركة'!C23</f>
      </c>
      <c r="B53" s="100">
        <f>'مستخلص الشركة'!I23</f>
      </c>
      <c r="C53" s="101">
        <f>B53*'مستخلص الشركة'!$F$29</f>
      </c>
      <c r="D53" s="101">
        <f t="shared" si="1"/>
      </c>
      <c r="E53" s="105" t="str">
        <f>TEXT('مستخلص الشركة'!H23,"#,##0.00")&amp;" "&amp;'مستخلص الشركة'!D23&amp;" × "&amp;TEXT('مستخلص الشركة'!F23,"#,##0")</f>
      </c>
    </row>
    <row r="54" spans="1:5" x14ac:dyDescent="0.3">
      <c r="A54" s="49" t="str">
        <f>'مستخلص الشركة'!B24&amp;" – "&amp;'مستخلص الشركة'!C24</f>
      </c>
      <c r="B54" s="100">
        <f>'مستخلص الشركة'!I24</f>
      </c>
      <c r="C54" s="101">
        <f>B54*'مستخلص الشركة'!$F$29</f>
      </c>
      <c r="D54" s="101">
        <f t="shared" si="1"/>
      </c>
      <c r="E54" s="105" t="str">
        <f>TEXT('مستخلص الشركة'!H24,"#,##0.00")&amp;" "&amp;'مستخلص الشركة'!D24&amp;" × "&amp;TEXT('مستخلص الشركة'!F24,"#,##0")</f>
      </c>
    </row>
    <row r="55" spans="1:5" x14ac:dyDescent="0.3">
      <c r="A55" s="49" t="str">
        <f>'مستخلص الشركة'!B25&amp;" – "&amp;'مستخلص الشركة'!C25</f>
      </c>
      <c r="B55" s="100">
        <f>'مستخلص الشركة'!I25</f>
      </c>
      <c r="C55" s="101">
        <f>B55*'مستخلص الشركة'!$F$29</f>
      </c>
      <c r="D55" s="101">
        <f t="shared" si="1"/>
      </c>
      <c r="E55" s="105" t="str">
        <f>TEXT('مستخلص الشركة'!H25,"#,##0.00")&amp;" "&amp;'مستخلص الشركة'!D25&amp;" × "&amp;TEXT('مستخلص الشركة'!F25,"#,##0")</f>
      </c>
    </row>
    <row r="56" spans="1:5" x14ac:dyDescent="0.3">
      <c r="A56" s="49" t="str">
        <f>'مستخلص الشركة'!B26&amp;" – "&amp;'مستخلص الشركة'!C26</f>
      </c>
      <c r="B56" s="100">
        <f>'مستخلص الشركة'!I26</f>
      </c>
      <c r="C56" s="101">
        <f>B56*'مستخلص الشركة'!$F$29</f>
      </c>
      <c r="D56" s="101">
        <f t="shared" si="1"/>
      </c>
      <c r="E56" s="105" t="str">
        <f>TEXT('مستخلص الشركة'!H26,"#,##0.00")&amp;" "&amp;'مستخلص الشركة'!D26&amp;" × "&amp;TEXT('مستخلص الشركة'!F26,"#,##0")</f>
      </c>
    </row>
    <row r="57" spans="1:5" x14ac:dyDescent="0.3">
      <c r="A57" s="54" t="s">
        <v>164</v>
      </c>
      <c r="B57" s="102">
        <f>SUM(B43:B56)</f>
      </c>
      <c r="C57" s="102">
        <f>SUM(C43:C56)</f>
      </c>
      <c r="D57" s="102">
        <f>SUM(D43:D56)</f>
      </c>
      <c r="E57" s="106" t="str">
        <f>IF(ROUND(D57-'مستخلص الشركة'!I30,2)=0,"يطابق المستخلص المعتمد","مراجعة")</f>
      </c>
    </row>
    <row r="58" spans="1:5" x14ac:dyDescent="0.3">
      <c r="A58" s="54" t="s">
        <v>165</v>
      </c>
      <c r="B58" s="102"/>
      <c r="C58" s="102"/>
      <c r="D58" s="102"/>
      <c r="E58" s="106"/>
    </row>
    <row r="59" spans="1:5" ht="27" x14ac:dyDescent="0.3">
      <c r="A59" s="49" t="str">
        <f>'أعمال الأرضي المتبقية'!B5&amp;" – "&amp;'أعمال الأرضي المتبقية'!C5</f>
      </c>
      <c r="B59" s="100">
        <f>'أعمال الأرضي المتبقية'!G5</f>
      </c>
      <c r="C59" s="101">
        <f>B59*'مستخلص الشركة'!$F$29</f>
      </c>
      <c r="D59" s="101">
        <f>B59+C59</f>
      </c>
      <c r="E59" s="105" t="str">
        <f>TEXT('أعمال الأرضي المتبقية'!E5,"#,##0.00")&amp;" "&amp;'أعمال الأرضي المتبقية'!D5&amp;" × "&amp;TEXT('أعمال الأرضي المتبقية'!F5,"#,##0")</f>
      </c>
    </row>
    <row r="60" spans="1:5" x14ac:dyDescent="0.3">
      <c r="A60" s="49" t="str">
        <f>'أعمال الأرضي المتبقية'!B6&amp;" – "&amp;'أعمال الأرضي المتبقية'!C6</f>
      </c>
      <c r="B60" s="100">
        <f>'أعمال الأرضي المتبقية'!G6</f>
      </c>
      <c r="C60" s="101">
        <f>B60*'مستخلص الشركة'!$F$29</f>
      </c>
      <c r="D60" s="101">
        <f>B60+C60</f>
      </c>
      <c r="E60" s="105" t="str">
        <f>TEXT('أعمال الأرضي المتبقية'!E6,"#,##0.00")&amp;" "&amp;'أعمال الأرضي المتبقية'!D6&amp;" × "&amp;TEXT('أعمال الأرضي المتبقية'!F6,"#,##0")</f>
      </c>
    </row>
    <row r="61" spans="1:5" ht="27" x14ac:dyDescent="0.3">
      <c r="A61" s="49" t="str">
        <f>'أعمال الأرضي المتبقية'!B9&amp;" – "&amp;'أعمال الأرضي المتبقية'!C9</f>
      </c>
      <c r="B61" s="100">
        <f>'أعمال الأرضي المتبقية'!G9</f>
      </c>
      <c r="C61" s="101">
        <f>B61*'مستخلص الشركة'!$F$29</f>
      </c>
      <c r="D61" s="101">
        <f>B61+C61</f>
      </c>
      <c r="E61" s="105" t="str">
        <f>TEXT('أعمال الأرضي المتبقية'!E9,"#,##0.00")&amp;" "&amp;'أعمال الأرضي المتبقية'!D9&amp;" × "&amp;TEXT('أعمال الأرضي المتبقية'!F9,"#,##0")</f>
      </c>
    </row>
    <row r="62" spans="1:5" x14ac:dyDescent="0.3">
      <c r="A62" s="49" t="str">
        <f>'أعمال الأرضي المتبقية'!B10&amp;" – "&amp;'أعمال الأرضي المتبقية'!C10</f>
      </c>
      <c r="B62" s="100">
        <f>'أعمال الأرضي المتبقية'!G10</f>
      </c>
      <c r="C62" s="101">
        <f>B62*'مستخلص الشركة'!$F$29</f>
      </c>
      <c r="D62" s="101">
        <f>B62+C62</f>
      </c>
      <c r="E62" s="105" t="str">
        <f>TEXT('أعمال الأرضي المتبقية'!E10,"#,##0.00")&amp;" "&amp;'أعمال الأرضي المتبقية'!D10&amp;" × "&amp;TEXT('أعمال الأرضي المتبقية'!F10,"#,##0")</f>
      </c>
    </row>
    <row r="63" spans="1:5" x14ac:dyDescent="0.3">
      <c r="A63" s="49" t="str">
        <f>'أعمال الأرضي المتبقية'!B11&amp;" – "&amp;'أعمال الأرضي المتبقية'!C11</f>
      </c>
      <c r="B63" s="100">
        <f>'أعمال الأرضي المتبقية'!G11</f>
      </c>
      <c r="C63" s="101">
        <f>B63*'مستخلص الشركة'!$F$29</f>
      </c>
      <c r="D63" s="101">
        <f>B63+C63</f>
      </c>
      <c r="E63" s="105" t="str">
        <f>TEXT('أعمال الأرضي المتبقية'!E11,"#,##0.00")&amp;" "&amp;'أعمال الأرضي المتبقية'!D11&amp;" × "&amp;TEXT('أعمال الأرضي المتبقية'!F11,"#,##0")</f>
      </c>
    </row>
    <row r="64" spans="1:5" x14ac:dyDescent="0.3">
      <c r="A64" s="52" t="s">
        <v>166</v>
      </c>
      <c r="B64" s="102">
        <f>SUM(B59:B63)</f>
      </c>
      <c r="C64" s="102">
        <f>SUM(C59:C63)</f>
      </c>
      <c r="D64" s="102">
        <f>SUM(D59:D63)</f>
      </c>
      <c r="E64" s="54" t="str">
        <f>IF(ROUND(D64-'أعمال الأرضي المتبقية'!G16,2)=0,"يطابق ورقة أعمال الأرضي","مراجعة")</f>
      </c>
    </row>
    <row r="65" spans="1:5" ht="16.8" x14ac:dyDescent="0.3">
      <c r="A65" s="79" t="s">
        <v>167</v>
      </c>
      <c r="B65" s="103">
        <f>B57+B64</f>
      </c>
      <c r="C65" s="103">
        <f>C57+C64</f>
      </c>
      <c r="D65" s="103">
        <f>D57+D64</f>
      </c>
      <c r="E65" s="79"/>
    </row>
    <row r="66" spans="1:5" x14ac:dyDescent="0.3">
      <c r="A66" s="46" t="s">
        <v>168</v>
      </c>
      <c r="B66" s="101"/>
      <c r="C66" s="101"/>
      <c r="D66" s="101">
        <f>-C21</f>
      </c>
      <c r="E66" s="49"/>
    </row>
    <row r="67" spans="1:5" ht="16.8" x14ac:dyDescent="0.3">
      <c r="A67" s="91" t="s">
        <v>169</v>
      </c>
      <c r="B67" s="104"/>
      <c r="C67" s="104"/>
      <c r="D67" s="104">
        <f>D65+D66</f>
      </c>
      <c r="E67" s="91" t="str">
        <f>IF(ROUND(D67+B34,2)=0,"يطابق الصافي بالموقف المالي","مراجعة")</f>
      </c>
    </row>
    <row r="68" spans="1:5" x14ac:dyDescent="0.3">
      <c r="A68" s="46" t="s">
        <v>170</v>
      </c>
      <c r="B68" s="58"/>
      <c r="C68" s="58"/>
      <c r="D68" s="58">
        <f>D65/C4</f>
      </c>
      <c r="E68" s="49"/>
    </row>
  </sheetData>
  <mergeCells count="18">
    <mergeCell ref="B29:C29"/>
    <mergeCell ref="B30:C30"/>
    <mergeCell ref="B31:C31"/>
    <mergeCell ref="D31:E31"/>
    <mergeCell ref="A1:E1"/>
    <mergeCell ref="A2:E2"/>
    <mergeCell ref="A6:E6"/>
    <mergeCell ref="A16:E16"/>
    <mergeCell ref="A23:E23"/>
    <mergeCell ref="A40:E40"/>
    <mergeCell ref="A38:E38"/>
    <mergeCell ref="B32:C32"/>
    <mergeCell ref="B33:C33"/>
    <mergeCell ref="B34:C34"/>
    <mergeCell ref="D33:E33"/>
    <mergeCell ref="D34:E34"/>
    <mergeCell ref="A36:E36"/>
    <mergeCell ref="A37:E37"/>
  </mergeCells>
  <pageMargins left="0.7" right="0.7" top="0.75" bottom="0.75" header="0.3" footer="0.3"/>
  <pageSetup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8A95-656A-48E9-B8D7-C9EDAA814A2F}">
  <dimension ref="A1:L25"/>
  <sheetViews>
    <sheetView rightToLeft="1" topLeftCell="A6" workbookViewId="0">
      <selection activeCell="A18" sqref="A18:F18"/>
    </sheetView>
  </sheetViews>
  <sheetFormatPr defaultRowHeight="14.4" x14ac:dyDescent="0.3"/>
  <cols>
    <col min="1" max="1" width="5.5546875" style="1" customWidth="1"/>
    <col min="2" max="2" width="17.5546875" style="1" customWidth="1"/>
    <col min="3" max="3" width="22.21875" style="1" customWidth="1"/>
    <col min="4" max="4" width="31.44140625" style="1" customWidth="1"/>
    <col min="5" max="5" width="8.33203125" style="1" customWidth="1"/>
    <col min="6" max="6" width="13.88671875" style="1" customWidth="1"/>
    <col min="7" max="7" width="4.5546875" style="1" customWidth="1"/>
    <col min="8" max="10" width="17.5546875" style="1" customWidth="1"/>
    <col min="11" max="11" width="13.88671875" style="1" customWidth="1"/>
    <col min="12" max="12" width="15.77734375" style="1" customWidth="1"/>
  </cols>
  <sheetData>
    <row r="1" spans="1:12" ht="18" x14ac:dyDescent="0.35">
      <c r="A1" s="164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</row>
    <row r="2" spans="1:12" x14ac:dyDescent="0.3">
      <c r="A2" s="165" t="s">
        <v>1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4" spans="1:12" x14ac:dyDescent="0.3">
      <c r="A4" s="154" t="s">
        <v>2</v>
      </c>
      <c r="B4" s="155"/>
      <c r="C4" s="162" t="s">
        <v>3</v>
      </c>
      <c r="D4" s="155"/>
      <c r="E4" s="155"/>
      <c r="F4" s="12"/>
      <c r="G4" s="154" t="s">
        <v>12</v>
      </c>
      <c r="H4" s="155"/>
      <c r="I4" s="13"/>
    </row>
    <row r="5" spans="1:12" x14ac:dyDescent="0.3">
      <c r="A5" s="154" t="s">
        <v>4</v>
      </c>
      <c r="B5" s="155"/>
      <c r="C5" s="162" t="s">
        <v>5</v>
      </c>
      <c r="D5" s="155"/>
      <c r="E5" s="155"/>
      <c r="F5" s="12"/>
      <c r="G5" s="154" t="s">
        <v>13</v>
      </c>
      <c r="H5" s="155"/>
      <c r="I5" s="14"/>
    </row>
    <row r="6" spans="1:12" x14ac:dyDescent="0.3">
      <c r="A6" s="154" t="s">
        <v>6</v>
      </c>
      <c r="B6" s="155"/>
      <c r="C6" s="162" t="s">
        <v>7</v>
      </c>
      <c r="D6" s="155"/>
      <c r="E6" s="155"/>
      <c r="F6" s="12"/>
      <c r="G6" s="154" t="s">
        <v>14</v>
      </c>
      <c r="H6" s="155"/>
      <c r="I6" s="15">
        <v>0.15</v>
      </c>
    </row>
    <row r="7" spans="1:12" x14ac:dyDescent="0.3">
      <c r="A7" s="154" t="s">
        <v>8</v>
      </c>
      <c r="B7" s="154"/>
      <c r="C7" s="162" t="s">
        <v>9</v>
      </c>
      <c r="D7" s="155"/>
      <c r="E7" s="155"/>
      <c r="F7" s="12"/>
      <c r="G7" s="12"/>
      <c r="H7" s="12"/>
      <c r="I7" s="12"/>
    </row>
    <row r="8" spans="1:12" x14ac:dyDescent="0.3">
      <c r="A8" s="154" t="s">
        <v>10</v>
      </c>
      <c r="B8" s="154"/>
      <c r="C8" s="162" t="s">
        <v>11</v>
      </c>
      <c r="D8" s="155"/>
      <c r="E8" s="155"/>
      <c r="F8" s="12"/>
      <c r="G8" s="12"/>
      <c r="H8" s="12"/>
      <c r="I8" s="12"/>
    </row>
    <row r="10" spans="1:12" ht="42" customHeight="1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</row>
    <row r="11" spans="1:12" ht="26.4" x14ac:dyDescent="0.3">
      <c r="A11" s="9">
        <v>1</v>
      </c>
      <c r="B11" s="9" t="s">
        <v>27</v>
      </c>
      <c r="C11" s="5" t="s">
        <v>28</v>
      </c>
      <c r="D11" s="5" t="s">
        <v>29</v>
      </c>
      <c r="E11" s="9" t="s">
        <v>30</v>
      </c>
      <c r="F11" s="6"/>
      <c r="G11" s="6">
        <v>380</v>
      </c>
      <c r="H11" s="7">
        <f>F11*G11</f>
      </c>
      <c r="I11" s="8"/>
      <c r="J11" s="7">
        <f>F11*I11</f>
      </c>
      <c r="K11" s="7">
        <f>I11-G11</f>
      </c>
      <c r="L11" s="7">
        <f>J11-H11</f>
      </c>
    </row>
    <row r="12" spans="1:12" ht="26.4" x14ac:dyDescent="0.3">
      <c r="A12" s="9">
        <v>2</v>
      </c>
      <c r="B12" s="9" t="s">
        <v>31</v>
      </c>
      <c r="C12" s="5" t="s">
        <v>28</v>
      </c>
      <c r="D12" s="5" t="s">
        <v>29</v>
      </c>
      <c r="E12" s="9" t="s">
        <v>30</v>
      </c>
      <c r="F12" s="6"/>
      <c r="G12" s="6">
        <v>375</v>
      </c>
      <c r="H12" s="7">
        <f>F12*G12</f>
      </c>
      <c r="I12" s="8"/>
      <c r="J12" s="7">
        <f>F12*I12</f>
      </c>
      <c r="K12" s="7">
        <f>I12-G12</f>
      </c>
      <c r="L12" s="7">
        <f>J12-H12</f>
      </c>
    </row>
    <row r="13" spans="1:12" x14ac:dyDescent="0.3">
      <c r="A13" s="156" t="s">
        <v>32</v>
      </c>
      <c r="B13" s="157"/>
      <c r="C13" s="157"/>
      <c r="D13" s="157"/>
      <c r="E13" s="157"/>
      <c r="F13" s="158"/>
      <c r="G13" s="59">
        <f t="shared" ref="G13:L13" si="0">SUM(G11:G12)</f>
      </c>
      <c r="H13" s="59">
        <f t="shared" si="0"/>
      </c>
      <c r="I13" s="59">
        <f t="shared" si="0"/>
      </c>
      <c r="J13" s="59">
        <f t="shared" si="0"/>
      </c>
      <c r="K13" s="59">
        <f t="shared" si="0"/>
      </c>
      <c r="L13" s="59">
        <f t="shared" si="0"/>
      </c>
    </row>
    <row r="14" spans="1:12" x14ac:dyDescent="0.3">
      <c r="A14" s="156" t="str">
        <f>"ضريبة القيمة المضافة "&amp;TEXT($I$6,"0%")</f>
      </c>
      <c r="B14" s="157"/>
      <c r="C14" s="157"/>
      <c r="D14" s="157"/>
      <c r="E14" s="157"/>
      <c r="F14" s="158"/>
      <c r="G14" s="59"/>
      <c r="H14" s="59">
        <f>H13*$I$6</f>
      </c>
      <c r="I14" s="59"/>
      <c r="J14" s="59">
        <f>J13*$I$6</f>
      </c>
      <c r="K14" s="59"/>
      <c r="L14" s="59">
        <f>J14-H14</f>
      </c>
    </row>
    <row r="15" spans="1:12" x14ac:dyDescent="0.3">
      <c r="A15" s="156" t="s">
        <v>33</v>
      </c>
      <c r="B15" s="157"/>
      <c r="C15" s="157"/>
      <c r="D15" s="157"/>
      <c r="E15" s="157"/>
      <c r="F15" s="158"/>
      <c r="G15" s="59"/>
      <c r="H15" s="59">
        <f>H13+H14</f>
      </c>
      <c r="I15" s="59"/>
      <c r="J15" s="59">
        <f>J13+J14</f>
      </c>
      <c r="K15" s="59"/>
      <c r="L15" s="59">
        <f>J15-H15</f>
      </c>
    </row>
    <row r="17" spans="1:12" ht="15.6" x14ac:dyDescent="0.3">
      <c r="A17" s="159" t="s">
        <v>34</v>
      </c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</row>
    <row r="18" spans="1:12" ht="30" customHeight="1" x14ac:dyDescent="0.3">
      <c r="A18" s="161" t="s">
        <v>35</v>
      </c>
      <c r="B18" s="161"/>
      <c r="C18" s="161"/>
      <c r="D18" s="161"/>
      <c r="E18" s="161"/>
      <c r="F18" s="161"/>
      <c r="G18" s="10" t="s">
        <v>36</v>
      </c>
      <c r="H18" s="10" t="s">
        <v>37</v>
      </c>
      <c r="I18" s="10" t="s">
        <v>99</v>
      </c>
    </row>
    <row r="19" spans="1:12" x14ac:dyDescent="0.3">
      <c r="A19" s="163" t="s">
        <v>38</v>
      </c>
      <c r="B19" s="163"/>
      <c r="C19" s="163"/>
      <c r="D19" s="163"/>
      <c r="E19" s="163"/>
      <c r="F19" s="163"/>
      <c r="G19" s="3"/>
      <c r="H19" s="60">
        <f>H15</f>
      </c>
      <c r="I19" s="61">
        <f>'مستخلص الشركة'!I30</f>
      </c>
    </row>
    <row r="20" spans="1:12" x14ac:dyDescent="0.3">
      <c r="A20" s="163" t="s">
        <v>97</v>
      </c>
      <c r="B20" s="163"/>
      <c r="C20" s="163"/>
      <c r="D20" s="163"/>
      <c r="E20" s="163"/>
      <c r="F20" s="163"/>
      <c r="G20" s="62">
        <v>0.7</v>
      </c>
      <c r="H20" s="60">
        <f>$H$15*G20</f>
      </c>
      <c r="I20" s="61">
        <f>'مستخلص الشركة'!I40</f>
      </c>
    </row>
    <row r="21" spans="1:12" x14ac:dyDescent="0.3">
      <c r="A21" s="163" t="s">
        <v>98</v>
      </c>
      <c r="B21" s="163"/>
      <c r="C21" s="163"/>
      <c r="D21" s="163"/>
      <c r="E21" s="163"/>
      <c r="F21" s="163"/>
      <c r="G21" s="62">
        <v>0.3</v>
      </c>
      <c r="H21" s="60">
        <f>$H$15*G21</f>
      </c>
      <c r="I21" s="61">
        <f>'مستخلص الشركة'!I41+'مستخلص الشركة'!I42</f>
      </c>
    </row>
    <row r="22" spans="1:12" x14ac:dyDescent="0.3">
      <c r="A22" s="152" t="s">
        <v>39</v>
      </c>
      <c r="B22" s="152"/>
      <c r="C22" s="152"/>
      <c r="D22" s="152"/>
      <c r="E22" s="152"/>
      <c r="F22" s="152"/>
      <c r="G22" s="63">
        <f>SUM(G20:G21)</f>
      </c>
      <c r="H22" s="64">
        <f>SUM(H20:H21)</f>
      </c>
      <c r="I22" s="64">
        <f>SUM(I20:I21)</f>
      </c>
    </row>
    <row r="23" spans="1:12" x14ac:dyDescent="0.3">
      <c r="A23" s="153" t="s">
        <v>40</v>
      </c>
      <c r="B23" s="153"/>
      <c r="C23" s="153"/>
      <c r="D23" s="153"/>
      <c r="E23" s="153"/>
      <c r="F23" s="153"/>
      <c r="G23" s="11"/>
      <c r="H23" s="65">
        <f>H19-H22</f>
      </c>
      <c r="I23" s="65">
        <f>I19-I22</f>
      </c>
    </row>
    <row r="25" spans="1:12" x14ac:dyDescent="0.3">
      <c r="A25" s="126" t="s">
        <v>41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</row>
  </sheetData>
  <mergeCells count="26">
    <mergeCell ref="A20:F20"/>
    <mergeCell ref="A21:F21"/>
    <mergeCell ref="A1:L1"/>
    <mergeCell ref="A2:L2"/>
    <mergeCell ref="A4:B4"/>
    <mergeCell ref="C4:E4"/>
    <mergeCell ref="A5:B5"/>
    <mergeCell ref="C5:E5"/>
    <mergeCell ref="G4:H4"/>
    <mergeCell ref="G5:H5"/>
    <mergeCell ref="A22:F22"/>
    <mergeCell ref="A23:F23"/>
    <mergeCell ref="A25:L25"/>
    <mergeCell ref="G6:H6"/>
    <mergeCell ref="A13:F13"/>
    <mergeCell ref="A14:F14"/>
    <mergeCell ref="A15:F15"/>
    <mergeCell ref="A17:L17"/>
    <mergeCell ref="A18:F18"/>
    <mergeCell ref="A6:B6"/>
    <mergeCell ref="C6:E6"/>
    <mergeCell ref="A7:B7"/>
    <mergeCell ref="C7:E7"/>
    <mergeCell ref="A8:B8"/>
    <mergeCell ref="C8:E8"/>
    <mergeCell ref="A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D1F3-EA2A-46E6-B9C2-2FECB2E9816B}">
  <dimension ref="A1:M52"/>
  <sheetViews>
    <sheetView rightToLeft="1" workbookViewId="0">
      <pane ySplit="4" topLeftCell="A35" activePane="bottomLeft" state="frozen"/>
      <selection pane="bottomLeft" activeCell="I27" sqref="I27"/>
    </sheetView>
  </sheetViews>
  <sheetFormatPr defaultRowHeight="14.4" x14ac:dyDescent="0.3"/>
  <cols>
    <col min="1" max="1" width="5.5546875" style="1" customWidth="1"/>
    <col min="2" max="2" width="13" style="1" customWidth="1"/>
    <col min="3" max="3" width="36.6640625" style="1" customWidth="1"/>
    <col min="4" max="4" width="10.6640625" style="1" customWidth="1"/>
    <col min="5" max="5" width="7" style="1" customWidth="1"/>
    <col min="6" max="6" width="13.88671875" style="1" customWidth="1"/>
    <col min="7" max="7" width="20.33203125" style="1" customWidth="1"/>
    <col min="8" max="8" width="14.77734375" style="1" customWidth="1"/>
    <col min="9" max="9" width="20.33203125" style="1" customWidth="1"/>
    <col min="10" max="10" width="17.5546875" style="1" customWidth="1"/>
    <col min="11" max="11" width="48.109375" style="1" customWidth="1"/>
    <col min="12" max="12" width="20.33203125" customWidth="1"/>
    <col min="13" max="13" width="51.88671875" customWidth="1"/>
  </cols>
  <sheetData>
    <row r="1" spans="1:13" ht="18" x14ac:dyDescent="0.35">
      <c r="A1" s="164" t="s">
        <v>42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3" x14ac:dyDescent="0.3">
      <c r="A2" s="165" t="s">
        <v>43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4" spans="1:13" ht="40.049999999999997" customHeight="1" x14ac:dyDescent="0.3">
      <c r="A4" s="2" t="s">
        <v>15</v>
      </c>
      <c r="B4" s="2" t="s">
        <v>44</v>
      </c>
      <c r="C4" s="2" t="s">
        <v>45</v>
      </c>
      <c r="D4" s="2" t="s">
        <v>19</v>
      </c>
      <c r="E4" s="2" t="s">
        <v>46</v>
      </c>
      <c r="F4" s="2" t="s">
        <v>20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148</v>
      </c>
      <c r="M4" s="2" t="s">
        <v>149</v>
      </c>
    </row>
    <row r="5" spans="1:13" x14ac:dyDescent="0.3">
      <c r="A5" s="156" t="s">
        <v>52</v>
      </c>
      <c r="B5" s="175"/>
      <c r="C5" s="176"/>
      <c r="D5" s="175"/>
      <c r="E5" s="177"/>
      <c r="F5" s="177"/>
      <c r="G5" s="177"/>
      <c r="H5" s="177"/>
      <c r="I5" s="177"/>
      <c r="J5" s="177"/>
      <c r="K5" s="178"/>
      <c r="L5" s="92"/>
      <c r="M5" s="93"/>
    </row>
    <row r="6" spans="1:13" x14ac:dyDescent="0.3">
      <c r="A6" s="31">
        <v>1</v>
      </c>
      <c r="B6" s="31" t="s">
        <v>52</v>
      </c>
      <c r="C6" s="3" t="s">
        <v>53</v>
      </c>
      <c r="D6" s="31" t="s">
        <v>54</v>
      </c>
      <c r="E6" s="17">
        <v>70</v>
      </c>
      <c r="F6" s="17"/>
      <c r="G6" s="18">
        <f>E6*F6</f>
      </c>
      <c r="H6" s="17">
        <v>70</v>
      </c>
      <c r="I6" s="18">
        <f>H6*F6</f>
      </c>
      <c r="J6" s="18">
        <f>I6-G6</f>
      </c>
      <c r="K6" s="4"/>
      <c r="L6" s="17"/>
      <c r="M6" s="4" t="str">
        <f t="shared" ref="M6:M11" si="0">IF(ROUND(L6-I6,2)=0,"مطابق","فرق "&amp;TEXT(L6-I6,"#,##0.00"))</f>
      </c>
    </row>
    <row r="7" spans="1:13" ht="27" x14ac:dyDescent="0.3">
      <c r="A7" s="31">
        <v>2</v>
      </c>
      <c r="B7" s="31" t="s">
        <v>52</v>
      </c>
      <c r="C7" s="3" t="s">
        <v>55</v>
      </c>
      <c r="D7" s="31" t="s">
        <v>54</v>
      </c>
      <c r="E7" s="17">
        <v>70</v>
      </c>
      <c r="F7" s="17"/>
      <c r="G7" s="18">
        <f>E7*F7</f>
      </c>
      <c r="H7" s="17">
        <v>70</v>
      </c>
      <c r="I7" s="18">
        <f>H7*F7</f>
      </c>
      <c r="J7" s="18">
        <f>I7-G7</f>
      </c>
      <c r="K7" s="4" t="s">
        <v>156</v>
      </c>
      <c r="L7" s="17"/>
      <c r="M7" s="4" t="str">
        <f t="shared" si="0"/>
      </c>
    </row>
    <row r="8" spans="1:13" x14ac:dyDescent="0.3">
      <c r="A8" s="31">
        <v>3</v>
      </c>
      <c r="B8" s="31" t="s">
        <v>52</v>
      </c>
      <c r="C8" s="3" t="s">
        <v>56</v>
      </c>
      <c r="D8" s="31" t="s">
        <v>54</v>
      </c>
      <c r="E8" s="17">
        <v>6.8</v>
      </c>
      <c r="F8" s="17"/>
      <c r="G8" s="18">
        <f>E8*F8</f>
      </c>
      <c r="H8" s="17">
        <v>6.8</v>
      </c>
      <c r="I8" s="18">
        <f>H8*F8</f>
      </c>
      <c r="J8" s="18">
        <f>I8-G8</f>
      </c>
      <c r="K8" s="78" t="s">
        <v>126</v>
      </c>
      <c r="L8" s="17"/>
      <c r="M8" s="78" t="str">
        <f t="shared" si="0"/>
      </c>
    </row>
    <row r="9" spans="1:13" x14ac:dyDescent="0.3">
      <c r="A9" s="31">
        <v>4</v>
      </c>
      <c r="B9" s="31" t="s">
        <v>52</v>
      </c>
      <c r="C9" s="3" t="s">
        <v>57</v>
      </c>
      <c r="D9" s="31" t="s">
        <v>58</v>
      </c>
      <c r="E9" s="17">
        <v>40</v>
      </c>
      <c r="F9" s="17"/>
      <c r="G9" s="18">
        <f>E9*F9</f>
      </c>
      <c r="H9" s="17">
        <v>40</v>
      </c>
      <c r="I9" s="18">
        <f>H9*F9</f>
      </c>
      <c r="J9" s="18">
        <f>I9-G9</f>
      </c>
      <c r="K9" s="4"/>
      <c r="L9" s="17"/>
      <c r="M9" s="4" t="str">
        <f t="shared" si="0"/>
      </c>
    </row>
    <row r="10" spans="1:13" ht="27" x14ac:dyDescent="0.3">
      <c r="A10" s="31"/>
      <c r="B10" s="31" t="s">
        <v>52</v>
      </c>
      <c r="C10" s="3" t="s">
        <v>146</v>
      </c>
      <c r="D10" s="31" t="s">
        <v>54</v>
      </c>
      <c r="E10" s="17">
        <v>0</v>
      </c>
      <c r="F10" s="94">
        <f>F7</f>
      </c>
      <c r="G10" s="18">
        <f>E10*F10</f>
      </c>
      <c r="H10" s="17">
        <v>0</v>
      </c>
      <c r="I10" s="18">
        <f>-H10*F10</f>
      </c>
      <c r="J10" s="18">
        <f>I10-G10</f>
      </c>
      <c r="K10" s="4" t="s">
        <v>157</v>
      </c>
      <c r="L10" s="17">
        <v>0</v>
      </c>
      <c r="M10" s="4" t="str">
        <f t="shared" si="0"/>
      </c>
    </row>
    <row r="11" spans="1:13" x14ac:dyDescent="0.3">
      <c r="A11" s="179" t="s">
        <v>59</v>
      </c>
      <c r="B11" s="179"/>
      <c r="C11" s="180"/>
      <c r="D11" s="179"/>
      <c r="E11" s="181"/>
      <c r="F11" s="181"/>
      <c r="G11" s="22">
        <f>SUM(G6:G10)</f>
      </c>
      <c r="H11" s="22"/>
      <c r="I11" s="22">
        <f>SUM(I6:I10)</f>
      </c>
      <c r="J11" s="22">
        <f>SUM(J6:J10)</f>
      </c>
      <c r="K11" s="28"/>
      <c r="L11" s="22">
        <f>SUM(L6:L10)</f>
      </c>
      <c r="M11" s="28" t="str">
        <f t="shared" si="0"/>
      </c>
    </row>
    <row r="12" spans="1:13" x14ac:dyDescent="0.3">
      <c r="A12" s="156" t="s">
        <v>60</v>
      </c>
      <c r="B12" s="175"/>
      <c r="C12" s="176"/>
      <c r="D12" s="175"/>
      <c r="E12" s="177"/>
      <c r="F12" s="177"/>
      <c r="G12" s="177"/>
      <c r="H12" s="177"/>
      <c r="I12" s="177"/>
      <c r="J12" s="177"/>
      <c r="K12" s="178"/>
      <c r="L12" s="92"/>
      <c r="M12" s="93"/>
    </row>
    <row r="13" spans="1:13" x14ac:dyDescent="0.3">
      <c r="A13" s="31">
        <v>5</v>
      </c>
      <c r="B13" s="31" t="s">
        <v>60</v>
      </c>
      <c r="C13" s="3" t="s">
        <v>61</v>
      </c>
      <c r="D13" s="31" t="s">
        <v>54</v>
      </c>
      <c r="E13" s="17">
        <v>43</v>
      </c>
      <c r="F13" s="17"/>
      <c r="G13" s="18">
        <f>E13*F13</f>
      </c>
      <c r="H13" s="17">
        <v>43</v>
      </c>
      <c r="I13" s="18">
        <f>H13*F13</f>
      </c>
      <c r="J13" s="18">
        <f>I13-G13</f>
      </c>
      <c r="K13" s="4"/>
      <c r="L13" s="17"/>
      <c r="M13" s="4" t="str">
        <f>IF(ROUND(L13-I13,2)=0,"مطابق","فرق "&amp;TEXT(L13-I13,"#,##0.00"))</f>
      </c>
    </row>
    <row r="14" spans="1:13" x14ac:dyDescent="0.3">
      <c r="A14" s="31">
        <v>6</v>
      </c>
      <c r="B14" s="31" t="s">
        <v>60</v>
      </c>
      <c r="C14" s="3" t="s">
        <v>62</v>
      </c>
      <c r="D14" s="31" t="s">
        <v>54</v>
      </c>
      <c r="E14" s="17">
        <v>7.99</v>
      </c>
      <c r="F14" s="17"/>
      <c r="G14" s="18">
        <f>E14*F14</f>
      </c>
      <c r="H14" s="17">
        <v>7.99</v>
      </c>
      <c r="I14" s="18">
        <f>H14*F14</f>
      </c>
      <c r="J14" s="18">
        <f>I14-G14</f>
      </c>
      <c r="K14" s="78" t="s">
        <v>126</v>
      </c>
      <c r="L14" s="17"/>
      <c r="M14" s="78" t="str">
        <f>IF(ROUND(L14-I14,2)=0,"مطابق","فرق "&amp;TEXT(L14-I14,"#,##0.00"))</f>
      </c>
    </row>
    <row r="15" spans="1:13" x14ac:dyDescent="0.3">
      <c r="A15" s="31">
        <v>7</v>
      </c>
      <c r="B15" s="31" t="s">
        <v>60</v>
      </c>
      <c r="C15" s="3" t="s">
        <v>57</v>
      </c>
      <c r="D15" s="31" t="s">
        <v>58</v>
      </c>
      <c r="E15" s="17">
        <v>47</v>
      </c>
      <c r="F15" s="17"/>
      <c r="G15" s="18">
        <f>E15*F15</f>
      </c>
      <c r="H15" s="66">
        <v>47</v>
      </c>
      <c r="I15" s="18">
        <f>H15*F15</f>
      </c>
      <c r="J15" s="18">
        <f>I15-G15</f>
      </c>
      <c r="K15" s="4"/>
      <c r="L15" s="17"/>
      <c r="M15" s="4" t="str">
        <f>IF(ROUND(L15-I15,2)=0,"مطابق","فرق "&amp;TEXT(L15-I15,"#,##0.00"))</f>
      </c>
    </row>
    <row r="16" spans="1:13" x14ac:dyDescent="0.3">
      <c r="A16" s="179" t="s">
        <v>63</v>
      </c>
      <c r="B16" s="179"/>
      <c r="C16" s="180"/>
      <c r="D16" s="179"/>
      <c r="E16" s="181"/>
      <c r="F16" s="181"/>
      <c r="G16" s="22">
        <f>SUM(G13:G15)</f>
      </c>
      <c r="H16" s="22"/>
      <c r="I16" s="22">
        <f>SUM(I13:I15)</f>
      </c>
      <c r="J16" s="22">
        <f>SUM(J13:J15)</f>
      </c>
      <c r="K16" s="28"/>
      <c r="L16" s="22">
        <f>SUM(L13:L15)</f>
      </c>
      <c r="M16" s="28" t="str">
        <f>IF(ROUND(L16-I16,2)=0,"مطابق","فرق "&amp;TEXT(L16-I16,"#,##0.00"))</f>
      </c>
    </row>
    <row r="17" spans="1:13" x14ac:dyDescent="0.3">
      <c r="A17" s="156" t="s">
        <v>64</v>
      </c>
      <c r="B17" s="175"/>
      <c r="C17" s="176"/>
      <c r="D17" s="175"/>
      <c r="E17" s="177"/>
      <c r="F17" s="177"/>
      <c r="G17" s="177"/>
      <c r="H17" s="177"/>
      <c r="I17" s="177"/>
      <c r="J17" s="177"/>
      <c r="K17" s="178"/>
      <c r="L17" s="92"/>
      <c r="M17" s="93"/>
    </row>
    <row r="18" spans="1:13" x14ac:dyDescent="0.3">
      <c r="A18" s="31">
        <v>8</v>
      </c>
      <c r="B18" s="31" t="s">
        <v>64</v>
      </c>
      <c r="C18" s="3" t="s">
        <v>65</v>
      </c>
      <c r="D18" s="31" t="s">
        <v>54</v>
      </c>
      <c r="E18" s="17">
        <v>150</v>
      </c>
      <c r="F18" s="17"/>
      <c r="G18" s="18">
        <f>E18*F18</f>
      </c>
      <c r="H18" s="17">
        <v>150</v>
      </c>
      <c r="I18" s="18">
        <f>H18*F18</f>
      </c>
      <c r="J18" s="18">
        <f>I18-G18</f>
      </c>
      <c r="K18" s="4"/>
      <c r="L18" s="17"/>
      <c r="M18" s="4" t="str">
        <f>IF(ROUND(L18-I18,2)=0,"مطابق","فرق "&amp;TEXT(L18-I18,"#,##0.00"))</f>
      </c>
    </row>
    <row r="19" spans="1:13" x14ac:dyDescent="0.3">
      <c r="A19" s="31">
        <v>9</v>
      </c>
      <c r="B19" s="31" t="s">
        <v>64</v>
      </c>
      <c r="C19" s="3" t="s">
        <v>66</v>
      </c>
      <c r="D19" s="31" t="s">
        <v>54</v>
      </c>
      <c r="E19" s="17">
        <v>18.53</v>
      </c>
      <c r="F19" s="17"/>
      <c r="G19" s="18">
        <f>E19*F19</f>
      </c>
      <c r="H19" s="17">
        <v>18.53</v>
      </c>
      <c r="I19" s="18">
        <f>H19*F19</f>
      </c>
      <c r="J19" s="18">
        <f>I19-G19</f>
      </c>
      <c r="K19" s="78" t="s">
        <v>126</v>
      </c>
      <c r="L19" s="17"/>
      <c r="M19" s="78" t="str">
        <f>IF(ROUND(L19-I19,2)=0,"مطابق","فرق "&amp;TEXT(L19-I19,"#,##0.00"))</f>
      </c>
    </row>
    <row r="20" spans="1:13" x14ac:dyDescent="0.3">
      <c r="A20" s="31">
        <v>10</v>
      </c>
      <c r="B20" s="31" t="s">
        <v>64</v>
      </c>
      <c r="C20" s="3" t="s">
        <v>57</v>
      </c>
      <c r="D20" s="31" t="s">
        <v>58</v>
      </c>
      <c r="E20" s="17">
        <v>109</v>
      </c>
      <c r="F20" s="17"/>
      <c r="G20" s="18">
        <f>E20*F20</f>
      </c>
      <c r="H20" s="17">
        <v>109</v>
      </c>
      <c r="I20" s="18">
        <f>H20*F20</f>
      </c>
      <c r="J20" s="18">
        <f>I20-G20</f>
      </c>
      <c r="K20" s="4"/>
      <c r="L20" s="17"/>
      <c r="M20" s="4" t="str">
        <f>IF(ROUND(L20-I20,2)=0,"مطابق","فرق "&amp;TEXT(L20-I20,"#,##0.00"))</f>
      </c>
    </row>
    <row r="21" spans="1:13" x14ac:dyDescent="0.3">
      <c r="A21" s="179" t="s">
        <v>67</v>
      </c>
      <c r="B21" s="179"/>
      <c r="C21" s="180"/>
      <c r="D21" s="179"/>
      <c r="E21" s="181"/>
      <c r="F21" s="181"/>
      <c r="G21" s="22">
        <f>SUM(G18:G20)</f>
      </c>
      <c r="H21" s="22"/>
      <c r="I21" s="22">
        <f>SUM(I18:I20)</f>
      </c>
      <c r="J21" s="22">
        <f>SUM(J18:J20)</f>
      </c>
      <c r="K21" s="28"/>
      <c r="L21" s="22">
        <f>SUM(L18:L20)</f>
      </c>
      <c r="M21" s="28" t="str">
        <f>IF(ROUND(L21-I21,2)=0,"مطابق","فرق "&amp;TEXT(L21-I21,"#,##0.00"))</f>
      </c>
    </row>
    <row r="22" spans="1:13" x14ac:dyDescent="0.3">
      <c r="A22" s="156" t="s">
        <v>68</v>
      </c>
      <c r="B22" s="175"/>
      <c r="C22" s="176"/>
      <c r="D22" s="175"/>
      <c r="E22" s="177"/>
      <c r="F22" s="177"/>
      <c r="G22" s="177"/>
      <c r="H22" s="177"/>
      <c r="I22" s="177"/>
      <c r="J22" s="177"/>
      <c r="K22" s="178"/>
      <c r="L22" s="92"/>
      <c r="M22" s="93"/>
    </row>
    <row r="23" spans="1:13" x14ac:dyDescent="0.3">
      <c r="A23" s="31">
        <v>11</v>
      </c>
      <c r="B23" s="31" t="s">
        <v>68</v>
      </c>
      <c r="C23" s="3" t="s">
        <v>69</v>
      </c>
      <c r="D23" s="31" t="s">
        <v>54</v>
      </c>
      <c r="E23" s="17">
        <v>25.88</v>
      </c>
      <c r="F23" s="17"/>
      <c r="G23" s="18">
        <f>E23*F23</f>
      </c>
      <c r="H23" s="17">
        <v>25.88</v>
      </c>
      <c r="I23" s="18">
        <f>H23*F23</f>
      </c>
      <c r="J23" s="18">
        <f>I23-G23</f>
      </c>
      <c r="K23" s="78" t="s">
        <v>126</v>
      </c>
      <c r="L23" s="17"/>
      <c r="M23" s="78" t="str">
        <f t="shared" ref="M23:M30" si="1">IF(ROUND(L23-I23,2)=0,"مطابق","فرق "&amp;TEXT(L23-I23,"#,##0.00"))</f>
      </c>
    </row>
    <row r="24" spans="1:13" x14ac:dyDescent="0.3">
      <c r="A24" s="31">
        <v>12</v>
      </c>
      <c r="B24" s="31" t="s">
        <v>68</v>
      </c>
      <c r="C24" s="3" t="s">
        <v>70</v>
      </c>
      <c r="D24" s="31" t="s">
        <v>58</v>
      </c>
      <c r="E24" s="17">
        <v>87.4</v>
      </c>
      <c r="F24" s="17"/>
      <c r="G24" s="18">
        <f>E24*F24</f>
      </c>
      <c r="H24" s="17">
        <v>87.4</v>
      </c>
      <c r="I24" s="18">
        <f>H24*F24</f>
      </c>
      <c r="J24" s="18">
        <f>I24-G24</f>
      </c>
      <c r="K24" s="78" t="s">
        <v>126</v>
      </c>
      <c r="L24" s="17"/>
      <c r="M24" s="78" t="str">
        <f t="shared" si="1"/>
      </c>
    </row>
    <row r="25" spans="1:13" x14ac:dyDescent="0.3">
      <c r="A25" s="31">
        <v>13</v>
      </c>
      <c r="B25" s="31" t="s">
        <v>68</v>
      </c>
      <c r="C25" s="3" t="s">
        <v>71</v>
      </c>
      <c r="D25" s="31" t="s">
        <v>54</v>
      </c>
      <c r="E25" s="17">
        <v>27.53</v>
      </c>
      <c r="F25" s="17"/>
      <c r="G25" s="18">
        <f>E25*F25</f>
      </c>
      <c r="H25" s="17">
        <v>7.53</v>
      </c>
      <c r="I25" s="18">
        <f>H25*F25</f>
      </c>
      <c r="J25" s="18">
        <f>I25-G25</f>
      </c>
      <c r="K25" s="78" t="s">
        <v>158</v>
      </c>
      <c r="L25" s="17"/>
      <c r="M25" s="78" t="str">
        <f t="shared" si="1"/>
      </c>
    </row>
    <row r="26" spans="1:13" x14ac:dyDescent="0.3">
      <c r="A26" s="31">
        <v>14</v>
      </c>
      <c r="B26" s="31" t="s">
        <v>68</v>
      </c>
      <c r="C26" s="3" t="s">
        <v>72</v>
      </c>
      <c r="D26" s="31" t="s">
        <v>58</v>
      </c>
      <c r="E26" s="17">
        <v>100.94</v>
      </c>
      <c r="F26" s="17"/>
      <c r="G26" s="18">
        <f>E26*F26</f>
      </c>
      <c r="H26" s="17">
        <v>100.94</v>
      </c>
      <c r="I26" s="18">
        <f>H26*F26</f>
      </c>
      <c r="J26" s="18">
        <f>I26-G26</f>
      </c>
      <c r="K26" s="78" t="s">
        <v>126</v>
      </c>
      <c r="L26" s="17"/>
      <c r="M26" s="78" t="str">
        <f t="shared" si="1"/>
      </c>
    </row>
    <row r="27" spans="1:13" x14ac:dyDescent="0.3">
      <c r="A27" s="179" t="s">
        <v>73</v>
      </c>
      <c r="B27" s="179"/>
      <c r="C27" s="180"/>
      <c r="D27" s="179"/>
      <c r="E27" s="181"/>
      <c r="F27" s="181"/>
      <c r="G27" s="22">
        <f>SUM(G23:G26)</f>
      </c>
      <c r="H27" s="22"/>
      <c r="I27" s="22">
        <f>SUM(I23:I26)</f>
      </c>
      <c r="J27" s="22">
        <f>SUM(J23:J26)</f>
      </c>
      <c r="K27" s="28"/>
      <c r="L27" s="22">
        <f>SUM(L23:L26)</f>
      </c>
      <c r="M27" s="28" t="str">
        <f t="shared" si="1"/>
      </c>
    </row>
    <row r="28" spans="1:13" x14ac:dyDescent="0.3">
      <c r="A28" s="156" t="s">
        <v>32</v>
      </c>
      <c r="B28" s="156"/>
      <c r="C28" s="157"/>
      <c r="D28" s="156"/>
      <c r="E28" s="169"/>
      <c r="F28" s="169"/>
      <c r="G28" s="24">
        <f>G11+G16+G21+G27</f>
      </c>
      <c r="H28" s="24"/>
      <c r="I28" s="24">
        <f>I11+I16+I21+I27</f>
      </c>
      <c r="J28" s="24">
        <f>J11+J16+J21+J27</f>
      </c>
      <c r="K28" s="10"/>
      <c r="L28" s="24">
        <f>L11+L16+L21+L27</f>
      </c>
      <c r="M28" s="10" t="str">
        <f t="shared" si="1"/>
      </c>
    </row>
    <row r="29" spans="1:13" x14ac:dyDescent="0.3">
      <c r="A29" s="156" t="s">
        <v>74</v>
      </c>
      <c r="B29" s="156"/>
      <c r="C29" s="157"/>
      <c r="D29" s="156"/>
      <c r="E29" s="174"/>
      <c r="F29" s="26">
        <v>0.15</v>
      </c>
      <c r="G29" s="24">
        <f>G28*$F$29</f>
      </c>
      <c r="H29" s="24"/>
      <c r="I29" s="24">
        <f>I28*$F$29</f>
      </c>
      <c r="J29" s="24">
        <f>I29-G29</f>
      </c>
      <c r="K29" s="10"/>
      <c r="L29" s="24">
        <f>L28*$F$29</f>
      </c>
      <c r="M29" s="10" t="str">
        <f t="shared" si="1"/>
      </c>
    </row>
    <row r="30" spans="1:13" x14ac:dyDescent="0.3">
      <c r="A30" s="156" t="s">
        <v>75</v>
      </c>
      <c r="B30" s="156"/>
      <c r="C30" s="157"/>
      <c r="D30" s="156"/>
      <c r="E30" s="169"/>
      <c r="F30" s="169"/>
      <c r="G30" s="24">
        <f>G28+G29</f>
      </c>
      <c r="H30" s="24"/>
      <c r="I30" s="24">
        <f>I28+I29</f>
      </c>
      <c r="J30" s="24">
        <f>I30-G30</f>
      </c>
      <c r="K30" s="10"/>
      <c r="L30" s="24">
        <f>L28+L29</f>
      </c>
      <c r="M30" s="10" t="str">
        <f t="shared" si="1"/>
      </c>
    </row>
    <row r="31" spans="1:13" x14ac:dyDescent="0.3">
      <c r="A31" s="33"/>
      <c r="B31" s="33"/>
      <c r="D31" s="33"/>
      <c r="E31" s="16"/>
      <c r="F31" s="16"/>
      <c r="G31" s="16"/>
      <c r="H31" s="16"/>
      <c r="I31" s="16"/>
      <c r="J31" s="16"/>
      <c r="K31" s="29"/>
      <c r="L31" s="16"/>
      <c r="M31" s="29"/>
    </row>
    <row r="32" spans="1:13" x14ac:dyDescent="0.3">
      <c r="A32" s="170" t="s">
        <v>94</v>
      </c>
      <c r="B32" s="170"/>
      <c r="C32" s="163"/>
      <c r="D32" s="170"/>
      <c r="E32" s="171"/>
      <c r="F32" s="171"/>
      <c r="G32" s="17"/>
      <c r="H32" s="18"/>
      <c r="I32" s="18">
        <f>I43</f>
      </c>
      <c r="J32" s="18">
        <f>I32-G32</f>
      </c>
      <c r="K32" s="4" t="s">
        <v>93</v>
      </c>
      <c r="L32" s="17"/>
      <c r="M32" s="4" t="str">
        <f>IF(ROUND(L32-I32,2)=0,"مطابق","فرق "&amp;TEXT(L32-I32,"#,##0.00"))</f>
      </c>
    </row>
    <row r="33" spans="1:13" x14ac:dyDescent="0.3">
      <c r="A33" s="172" t="s">
        <v>76</v>
      </c>
      <c r="B33" s="172"/>
      <c r="C33" s="153"/>
      <c r="D33" s="172"/>
      <c r="E33" s="173"/>
      <c r="F33" s="173"/>
      <c r="G33" s="27">
        <f>G32-G30</f>
      </c>
      <c r="H33" s="27"/>
      <c r="I33" s="27">
        <f>I32-I30</f>
      </c>
      <c r="J33" s="27">
        <f>I33-G33</f>
      </c>
      <c r="K33" s="30"/>
      <c r="L33" s="27">
        <f>L32-L30</f>
      </c>
      <c r="M33" s="30" t="str">
        <f>IF(ROUND(L33-I33,2)=0,"مطابق","فرق "&amp;TEXT(L33-I33,"#,##0.00"))</f>
      </c>
    </row>
    <row r="34" spans="1:13" x14ac:dyDescent="0.3">
      <c r="A34" s="170" t="s">
        <v>77</v>
      </c>
      <c r="B34" s="170"/>
      <c r="C34" s="163"/>
      <c r="D34" s="170"/>
      <c r="E34" s="171"/>
      <c r="F34" s="171"/>
      <c r="G34" s="17"/>
      <c r="H34" s="18"/>
      <c r="I34" s="18"/>
      <c r="J34" s="18"/>
      <c r="K34" s="4" t="str">
        <f>IF(ROUND(G34-G33,2)=0,"مطابق","غير مطابق")</f>
      </c>
    </row>
    <row r="35" spans="1:13" x14ac:dyDescent="0.3">
      <c r="A35" s="153" t="s">
        <v>95</v>
      </c>
      <c r="B35" s="153"/>
      <c r="C35" s="153"/>
      <c r="D35" s="153"/>
      <c r="E35" s="153"/>
      <c r="F35" s="153"/>
      <c r="G35" s="27">
        <f>I32-G30</f>
      </c>
      <c r="H35" s="11"/>
      <c r="I35" s="11"/>
      <c r="J35" s="11"/>
      <c r="K35" s="11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</row>
    <row r="38" spans="1:13" ht="15.6" x14ac:dyDescent="0.3">
      <c r="A38" s="159" t="s">
        <v>78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</row>
    <row r="39" spans="1:13" ht="30" customHeight="1" x14ac:dyDescent="0.3">
      <c r="A39" s="34" t="s">
        <v>15</v>
      </c>
      <c r="B39" s="34" t="s">
        <v>79</v>
      </c>
      <c r="C39" s="167" t="s">
        <v>35</v>
      </c>
      <c r="D39" s="167"/>
      <c r="E39" s="167"/>
      <c r="F39" s="167"/>
      <c r="G39" s="34" t="s">
        <v>80</v>
      </c>
      <c r="H39" s="34" t="s">
        <v>81</v>
      </c>
      <c r="I39" s="34" t="s">
        <v>82</v>
      </c>
      <c r="J39" s="34" t="s">
        <v>83</v>
      </c>
      <c r="K39" s="34" t="s">
        <v>51</v>
      </c>
    </row>
    <row r="40" spans="1:13" x14ac:dyDescent="0.3">
      <c r="A40" s="31">
        <v>1</v>
      </c>
      <c r="B40" s="35">
        <f>DATE(2025,12,9)</f>
      </c>
      <c r="C40" s="163" t="s">
        <v>84</v>
      </c>
      <c r="D40" s="163"/>
      <c r="E40" s="163"/>
      <c r="F40" s="163"/>
      <c r="G40" s="17"/>
      <c r="H40" s="18">
        <f>G40*$F$29</f>
      </c>
      <c r="I40" s="18">
        <f>G40+H40</f>
      </c>
      <c r="J40" s="36" t="s">
        <v>85</v>
      </c>
      <c r="K40" s="3"/>
    </row>
    <row r="41" spans="1:13" x14ac:dyDescent="0.3">
      <c r="A41" s="32">
        <v>2</v>
      </c>
      <c r="B41" s="37">
        <f>DATE(2026,3,31)</f>
      </c>
      <c r="C41" s="168" t="s">
        <v>86</v>
      </c>
      <c r="D41" s="168"/>
      <c r="E41" s="168"/>
      <c r="F41" s="168"/>
      <c r="G41" s="20"/>
      <c r="H41" s="21">
        <f>G41*$F$29</f>
      </c>
      <c r="I41" s="21">
        <f>G41+H41</f>
      </c>
      <c r="J41" s="38" t="s">
        <v>87</v>
      </c>
      <c r="K41" s="19" t="s">
        <v>88</v>
      </c>
    </row>
    <row r="42" spans="1:13" x14ac:dyDescent="0.3">
      <c r="A42" s="31">
        <v>3</v>
      </c>
      <c r="B42" s="35">
        <f>DATE(2026,5,3)</f>
      </c>
      <c r="C42" s="163" t="s">
        <v>89</v>
      </c>
      <c r="D42" s="163"/>
      <c r="E42" s="163"/>
      <c r="F42" s="163"/>
      <c r="G42" s="17"/>
      <c r="H42" s="18">
        <f>G42*$F$29</f>
      </c>
      <c r="I42" s="18">
        <f>G42+H42</f>
      </c>
      <c r="J42" s="36" t="s">
        <v>85</v>
      </c>
      <c r="K42" s="3"/>
    </row>
    <row r="43" spans="1:13" x14ac:dyDescent="0.3">
      <c r="A43" s="157" t="s">
        <v>90</v>
      </c>
      <c r="B43" s="157"/>
      <c r="C43" s="157"/>
      <c r="D43" s="157"/>
      <c r="E43" s="157"/>
      <c r="F43" s="157"/>
      <c r="G43" s="24">
        <f>SUM(G40:G42)</f>
      </c>
      <c r="H43" s="24">
        <f>SUM(H40:H42)</f>
      </c>
      <c r="I43" s="24">
        <f>SUM(I40:I42)</f>
      </c>
      <c r="J43" s="25"/>
      <c r="K43" s="25"/>
    </row>
    <row r="44" spans="1:13" x14ac:dyDescent="0.3">
      <c r="A44" s="152" t="s">
        <v>91</v>
      </c>
      <c r="B44" s="152"/>
      <c r="C44" s="152"/>
      <c r="D44" s="152"/>
      <c r="E44" s="152"/>
      <c r="F44" s="152"/>
      <c r="G44" s="39"/>
      <c r="H44" s="39"/>
      <c r="I44" s="39">
        <f>SUMIF(J40:J42,"نعم",I40:I42)</f>
      </c>
      <c r="J44" s="40"/>
      <c r="K44" s="40" t="str">
        <f>IF(ROUND(I44-G32,2)=0,"يطابق المحصّل حسب الشركة","لا يطابق")</f>
      </c>
    </row>
    <row r="45" spans="1:13" x14ac:dyDescent="0.3">
      <c r="A45" s="166" t="s">
        <v>92</v>
      </c>
      <c r="B45" s="166"/>
      <c r="C45" s="166"/>
      <c r="D45" s="166"/>
      <c r="E45" s="166"/>
      <c r="F45" s="166"/>
      <c r="G45" s="41"/>
      <c r="H45" s="41"/>
      <c r="I45" s="41">
        <f>I43-I44</f>
      </c>
      <c r="J45" s="42"/>
      <c r="K45" s="42"/>
    </row>
    <row r="47" spans="1:13" x14ac:dyDescent="0.3">
      <c r="A47" s="126" t="s">
        <v>96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</row>
    <row r="49" spans="1:13" x14ac:dyDescent="0.3">
      <c r="A49" s="95" t="s">
        <v>150</v>
      </c>
    </row>
    <row r="50" spans="1:13" x14ac:dyDescent="0.3">
      <c r="A50" s="1" t="s">
        <v>151</v>
      </c>
      <c r="L50" s="96">
        <f>L33</f>
      </c>
      <c r="M50" t="str">
        <f>IF(ROUND(L50-I33,2)=0,"مطابق للرصيد المعتمد","فرق "&amp;TEXT(L50-I33,"#,##0.00"))</f>
      </c>
    </row>
    <row r="51" spans="1:13" x14ac:dyDescent="0.3">
      <c r="A51" s="1" t="s">
        <v>152</v>
      </c>
      <c r="L51" s="97"/>
      <c r="M51" t="str">
        <f>IF(ROUND(L51-الملخص!B33,2)=0,"مطابق لعرض القص والتركيب بالملخص","فرق "&amp;TEXT(L51-الملخص!B33,"#,##0.00"))</f>
      </c>
    </row>
    <row r="52" spans="1:13" x14ac:dyDescent="0.3">
      <c r="A52" s="1" t="s">
        <v>153</v>
      </c>
      <c r="L52" s="98">
        <f>L50-L51</f>
      </c>
      <c r="M52" s="99" t="str">
        <f>IF(ROUND(L52-(الملخص!B31-الملخص!B33),2)=0,"مطابق (لم يُخصم توريد رخام الأرضي بعد)","فرق")</f>
      </c>
    </row>
  </sheetData>
  <mergeCells count="26">
    <mergeCell ref="A29:E29"/>
    <mergeCell ref="A1:K1"/>
    <mergeCell ref="A2:K2"/>
    <mergeCell ref="A5:K5"/>
    <mergeCell ref="A11:F11"/>
    <mergeCell ref="A12:K12"/>
    <mergeCell ref="A16:F16"/>
    <mergeCell ref="A17:K17"/>
    <mergeCell ref="A21:F21"/>
    <mergeCell ref="A22:K22"/>
    <mergeCell ref="A27:F27"/>
    <mergeCell ref="A28:F28"/>
    <mergeCell ref="A30:F30"/>
    <mergeCell ref="A32:F32"/>
    <mergeCell ref="A33:F33"/>
    <mergeCell ref="A34:F34"/>
    <mergeCell ref="A38:K38"/>
    <mergeCell ref="A45:F45"/>
    <mergeCell ref="A35:F35"/>
    <mergeCell ref="A47:K47"/>
    <mergeCell ref="C39:F39"/>
    <mergeCell ref="C40:F40"/>
    <mergeCell ref="C41:F41"/>
    <mergeCell ref="C42:F42"/>
    <mergeCell ref="A43:F43"/>
    <mergeCell ref="A44:F4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38C7-A838-4B98-AB3A-43764114FBE9}">
  <dimension ref="A1:H19"/>
  <sheetViews>
    <sheetView rightToLeft="1" workbookViewId="0">
      <selection activeCell="B23" sqref="B23"/>
    </sheetView>
  </sheetViews>
  <sheetFormatPr defaultRowHeight="14.4" x14ac:dyDescent="0.3"/>
  <cols>
    <col min="1" max="1" width="5.5546875" style="1" customWidth="1"/>
    <col min="2" max="2" width="40.77734375" style="1" customWidth="1"/>
    <col min="3" max="3" width="30.33203125" style="1" customWidth="1"/>
    <col min="4" max="4" width="6.77734375" style="1" customWidth="1"/>
    <col min="5" max="5" width="10" style="1" hidden="1" customWidth="1"/>
    <col min="6" max="6" width="8.33203125" style="1" hidden="1" customWidth="1"/>
    <col min="7" max="7" width="10.21875" style="1" hidden="1" customWidth="1"/>
    <col min="8" max="8" width="27.6640625" style="1" customWidth="1"/>
  </cols>
  <sheetData>
    <row r="1" spans="1:8" ht="18" x14ac:dyDescent="0.35">
      <c r="A1" s="164" t="s">
        <v>128</v>
      </c>
      <c r="B1" s="160"/>
      <c r="C1" s="160"/>
      <c r="D1" s="160"/>
      <c r="E1" s="160"/>
      <c r="F1" s="160"/>
      <c r="G1" s="160"/>
      <c r="H1" s="160"/>
    </row>
    <row r="3" spans="1:8" ht="31.95" customHeight="1" x14ac:dyDescent="0.3">
      <c r="A3" s="80" t="s">
        <v>15</v>
      </c>
      <c r="B3" s="80" t="s">
        <v>45</v>
      </c>
      <c r="C3" s="80" t="s">
        <v>129</v>
      </c>
      <c r="D3" s="80" t="s">
        <v>19</v>
      </c>
      <c r="E3" s="80" t="s">
        <v>130</v>
      </c>
      <c r="F3" s="80" t="s">
        <v>20</v>
      </c>
      <c r="G3" s="80" t="s">
        <v>80</v>
      </c>
      <c r="H3" s="80" t="s">
        <v>51</v>
      </c>
    </row>
    <row r="4" spans="1:8" x14ac:dyDescent="0.3">
      <c r="A4" s="157" t="s">
        <v>131</v>
      </c>
      <c r="B4" s="176"/>
      <c r="C4" s="176"/>
      <c r="D4" s="176"/>
      <c r="E4" s="176"/>
      <c r="F4" s="176"/>
      <c r="G4" s="176"/>
      <c r="H4" s="176"/>
    </row>
    <row r="5" spans="1:8" ht="27" x14ac:dyDescent="0.3">
      <c r="A5" s="31">
        <v>1</v>
      </c>
      <c r="B5" s="4" t="s">
        <v>189</v>
      </c>
      <c r="C5" s="4" t="s">
        <v>186</v>
      </c>
      <c r="D5" s="87" t="s">
        <v>54</v>
      </c>
      <c r="E5" s="84">
        <v>346.8</v>
      </c>
      <c r="F5" s="84"/>
      <c r="G5" s="85">
        <f>E5*F5</f>
      </c>
      <c r="H5" s="4"/>
    </row>
    <row r="6" spans="1:8" ht="27" x14ac:dyDescent="0.3">
      <c r="A6" s="31">
        <v>2</v>
      </c>
      <c r="B6" s="4" t="s">
        <v>191</v>
      </c>
      <c r="C6" s="4" t="s">
        <v>186</v>
      </c>
      <c r="D6" s="87" t="s">
        <v>54</v>
      </c>
      <c r="E6" s="84">
        <v>60.39</v>
      </c>
      <c r="F6" s="84"/>
      <c r="G6" s="85">
        <f>E6*F6</f>
      </c>
      <c r="H6" s="4"/>
    </row>
    <row r="7" spans="1:8" x14ac:dyDescent="0.3">
      <c r="A7" s="179" t="s">
        <v>132</v>
      </c>
      <c r="B7" s="185"/>
      <c r="C7" s="185"/>
      <c r="D7" s="186"/>
      <c r="E7" s="187"/>
      <c r="F7" s="187"/>
      <c r="G7" s="86">
        <f>SUM(G5:G6)</f>
      </c>
      <c r="H7" s="28"/>
    </row>
    <row r="8" spans="1:8" x14ac:dyDescent="0.3">
      <c r="A8" s="156" t="s">
        <v>133</v>
      </c>
      <c r="B8" s="178"/>
      <c r="C8" s="178"/>
      <c r="D8" s="188"/>
      <c r="E8" s="189"/>
      <c r="F8" s="189"/>
      <c r="G8" s="189"/>
      <c r="H8" s="178"/>
    </row>
    <row r="9" spans="1:8" ht="40.200000000000003" x14ac:dyDescent="0.3">
      <c r="A9" s="87">
        <v>3</v>
      </c>
      <c r="B9" s="4" t="s">
        <v>139</v>
      </c>
      <c r="C9" s="4" t="s">
        <v>140</v>
      </c>
      <c r="D9" s="87" t="s">
        <v>54</v>
      </c>
      <c r="E9" s="84">
        <v>350</v>
      </c>
      <c r="F9" s="84"/>
      <c r="G9" s="85">
        <f>E9*F9</f>
      </c>
      <c r="H9" s="4" t="s">
        <v>143</v>
      </c>
    </row>
    <row r="10" spans="1:8" ht="27" x14ac:dyDescent="0.3">
      <c r="A10" s="87">
        <v>4</v>
      </c>
      <c r="B10" s="4" t="s">
        <v>141</v>
      </c>
      <c r="C10" s="4" t="s">
        <v>140</v>
      </c>
      <c r="D10" s="87" t="s">
        <v>58</v>
      </c>
      <c r="E10" s="84">
        <v>110</v>
      </c>
      <c r="F10" s="84"/>
      <c r="G10" s="85">
        <f>E10*F10</f>
      </c>
      <c r="H10" s="4"/>
    </row>
    <row r="11" spans="1:8" ht="27" x14ac:dyDescent="0.3">
      <c r="A11" s="87">
        <v>5</v>
      </c>
      <c r="B11" s="4" t="s">
        <v>142</v>
      </c>
      <c r="C11" s="4" t="s">
        <v>140</v>
      </c>
      <c r="D11" s="87" t="s">
        <v>58</v>
      </c>
      <c r="E11" s="84">
        <v>111</v>
      </c>
      <c r="F11" s="84"/>
      <c r="G11" s="85">
        <f>E11*F11</f>
      </c>
      <c r="H11" s="4"/>
    </row>
    <row r="12" spans="1:8" x14ac:dyDescent="0.3">
      <c r="A12" s="180" t="s">
        <v>134</v>
      </c>
      <c r="B12" s="185"/>
      <c r="C12" s="185"/>
      <c r="D12" s="185"/>
      <c r="E12" s="187"/>
      <c r="F12" s="187"/>
      <c r="G12" s="86">
        <f>SUM(G9:G11)</f>
      </c>
      <c r="H12" s="28"/>
    </row>
    <row r="13" spans="1:8" x14ac:dyDescent="0.3">
      <c r="A13" s="3"/>
      <c r="B13" s="3"/>
      <c r="C13" s="3"/>
      <c r="D13" s="3"/>
      <c r="E13" s="18"/>
      <c r="F13" s="18"/>
      <c r="G13" s="18"/>
      <c r="H13" s="3"/>
    </row>
    <row r="14" spans="1:8" x14ac:dyDescent="0.3">
      <c r="A14" s="180" t="s">
        <v>135</v>
      </c>
      <c r="B14" s="180"/>
      <c r="C14" s="180"/>
      <c r="D14" s="180"/>
      <c r="E14" s="182"/>
      <c r="F14" s="182"/>
      <c r="G14" s="22">
        <f>G7+G12</f>
      </c>
      <c r="H14" s="23"/>
    </row>
    <row r="15" spans="1:8" x14ac:dyDescent="0.3">
      <c r="A15" s="180" t="s">
        <v>74</v>
      </c>
      <c r="B15" s="180"/>
      <c r="C15" s="180"/>
      <c r="D15" s="180"/>
      <c r="E15" s="182"/>
      <c r="F15" s="81">
        <f>'مستخلص الشركة'!F29</f>
      </c>
      <c r="G15" s="22">
        <f>G14*F15</f>
      </c>
      <c r="H15" s="23"/>
    </row>
    <row r="16" spans="1:8" x14ac:dyDescent="0.3">
      <c r="A16" s="183" t="s">
        <v>136</v>
      </c>
      <c r="B16" s="183"/>
      <c r="C16" s="183"/>
      <c r="D16" s="183"/>
      <c r="E16" s="184"/>
      <c r="F16" s="184"/>
      <c r="G16" s="82">
        <f>G14+G15</f>
      </c>
      <c r="H16" s="83"/>
    </row>
    <row r="18" spans="1:8" x14ac:dyDescent="0.3">
      <c r="A18" s="126" t="s">
        <v>144</v>
      </c>
      <c r="B18" s="126"/>
      <c r="C18" s="126"/>
      <c r="D18" s="126"/>
      <c r="E18" s="126"/>
      <c r="F18" s="126"/>
      <c r="G18" s="126"/>
      <c r="H18" s="126"/>
    </row>
    <row r="19" spans="1:8" x14ac:dyDescent="0.3">
      <c r="A19" s="126" t="str">
        <f>"ملاحظة: عرض التوريد صادر من مورد الرخام إلى شركة الرخام بتاريخ 29/09/2026: "&amp;TEXT(E5,"#,##0.00")&amp;" م² × "&amp;TEXT(F5,"#,##0")&amp;" + "&amp;TEXT(E6,"#,##0.00")&amp;" م² × "&amp;TEXT(F6,"#,##0")&amp;" = "&amp;TEXT(G7,"#,##0")&amp;" + ضريبة "&amp;TEXT(G7*F15,"#,##0")&amp;" = "&amp;TEXT(G7*(1+F15),"#,##0")&amp;" ر.س."</f>
      </c>
      <c r="B19" s="128"/>
      <c r="C19" s="128"/>
      <c r="D19" s="128"/>
      <c r="E19" s="128"/>
      <c r="F19" s="128"/>
      <c r="G19" s="128"/>
      <c r="H19" s="128"/>
    </row>
  </sheetData>
  <mergeCells count="10">
    <mergeCell ref="A15:E15"/>
    <mergeCell ref="A16:F16"/>
    <mergeCell ref="A18:H18"/>
    <mergeCell ref="A19:H19"/>
    <mergeCell ref="A1:H1"/>
    <mergeCell ref="A4:H4"/>
    <mergeCell ref="A7:F7"/>
    <mergeCell ref="A8:H8"/>
    <mergeCell ref="A12:F12"/>
    <mergeCell ref="A14:F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 للعميل</vt:lpstr>
      <vt:lpstr>الملخص</vt:lpstr>
      <vt:lpstr>مستخلص الرخام</vt:lpstr>
      <vt:lpstr>مستخلص الشركة</vt:lpstr>
      <vt:lpstr>أعمال الأرضي المتبقية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VIVID DESIGN</dc:creator>
  <cp:lastModifiedBy>VIVID DESIGN</cp:lastModifiedBy>
  <cp:lastPrinted>2026-09-29T10:56:10Z</cp:lastPrinted>
  <dcterms:created xsi:type="dcterms:W3CDTF">2026-09-24T08:52:05Z</dcterms:created>
  <dcterms:modified xsi:type="dcterms:W3CDTF">2026-09-29T12:24:17Z</dcterms:modified>
</cp:coreProperties>
</file>