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قدمة" sheetId="1" state="visible" r:id="rId1"/>
    <sheet xmlns:r="http://schemas.openxmlformats.org/officeDocument/2006/relationships" name="اعمال النجارة" sheetId="2" state="visible" r:id="rId2"/>
  </sheets>
  <definedNames>
    <definedName name="_xlnm.Print_Titles" localSheetId="1">'اعمال النجارة'!$1:$1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\(#,##0.00\);&quot;-&quot;"/>
    <numFmt numFmtId="165" formatCode="#,##0.##"/>
  </numFmts>
  <fonts count="6">
    <font>
      <name val="Calibri"/>
      <family val="2"/>
      <color theme="1"/>
      <sz val="11"/>
      <scheme val="minor"/>
    </font>
    <font>
      <name val="DIN Next LT Arabic"/>
      <b val="1"/>
      <color rgb="FFFFFFFF"/>
      <sz val="12"/>
    </font>
    <font>
      <name val="DIN Next LT Arabic"/>
      <color rgb="FF000000"/>
      <sz val="11"/>
    </font>
    <font>
      <name val="DIN Next LT Arabic"/>
      <b val="1"/>
      <color rgb="FF000000"/>
      <sz val="12"/>
    </font>
    <font>
      <name val="DIN Next LT Arabic"/>
      <color rgb="FF0000FF"/>
      <sz val="11"/>
    </font>
    <font>
      <name val="DIN Next LT Arabic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164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165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rightToLeft="1" workbookViewId="0">
      <selection activeCell="A1" sqref="A1"/>
    </sheetView>
  </sheetViews>
  <sheetFormatPr baseColWidth="8" defaultRowHeight="15"/>
  <cols>
    <col width="5.86" customWidth="1" min="1" max="1"/>
    <col width="17.57" customWidth="1" min="2" max="2"/>
    <col width="66.70999999999999" customWidth="1" min="3" max="3"/>
    <col width="9.289999999999999" customWidth="1" min="4" max="4"/>
    <col width="13" customWidth="1" min="5" max="5"/>
    <col width="12" customWidth="1" min="6" max="6"/>
    <col width="15.71" customWidth="1" min="7" max="7"/>
    <col width="20.29" customWidth="1" min="8" max="8"/>
  </cols>
  <sheetData>
    <row r="1">
      <c r="A1" s="1" t="inlineStr">
        <is>
          <t>مقدمة وملخص تصنيفات أعمال المشروع</t>
        </is>
      </c>
      <c r="B1" s="14" t="n"/>
      <c r="C1" s="14" t="n"/>
      <c r="D1" s="14" t="n"/>
      <c r="E1" s="14" t="n"/>
      <c r="F1" s="14" t="n"/>
      <c r="G1" s="14" t="n"/>
      <c r="H1" s="15" t="n"/>
    </row>
    <row r="2" ht="48" customHeight="1">
      <c r="A2" s="2" t="inlineStr">
        <is>
          <t>تم تقسيم أعمال النجارة إلى بندين رئيسيين: أعمال النجارة (وحدات العرض ولايت بوكس ووحدات الخدمة)، والسقف المشدود (خشب ويشمل الوايرات والتعليق). يتم إدخال الكمية وسعر الوحدة لكل بند ويُحسب الإجمالي تلقائياً.</t>
        </is>
      </c>
      <c r="B2" s="14" t="n"/>
      <c r="C2" s="14" t="n"/>
      <c r="D2" s="14" t="n"/>
      <c r="E2" s="14" t="n"/>
      <c r="F2" s="14" t="n"/>
      <c r="G2" s="14" t="n"/>
      <c r="H2" s="15" t="n"/>
    </row>
    <row r="3">
      <c r="A3" s="1" t="inlineStr">
        <is>
          <t>الرقم</t>
        </is>
      </c>
      <c r="B3" s="1" t="inlineStr">
        <is>
          <t>البند</t>
        </is>
      </c>
      <c r="C3" s="14" t="n"/>
      <c r="D3" s="14" t="n"/>
      <c r="E3" s="14" t="n"/>
      <c r="F3" s="15" t="n"/>
      <c r="G3" s="1" t="inlineStr">
        <is>
          <t>الإجمالي</t>
        </is>
      </c>
      <c r="H3" s="1" t="inlineStr">
        <is>
          <t>الملاحظات</t>
        </is>
      </c>
    </row>
    <row r="4">
      <c r="A4" s="3" t="n">
        <v>1</v>
      </c>
      <c r="B4" s="2" t="inlineStr">
        <is>
          <t>أعمال النجارة</t>
        </is>
      </c>
      <c r="C4" s="14" t="n"/>
      <c r="D4" s="14" t="n"/>
      <c r="E4" s="14" t="n"/>
      <c r="F4" s="15" t="n"/>
      <c r="G4" s="4">
        <f>'اعمال النجارة'!G19</f>
        <v/>
      </c>
      <c r="H4" s="3" t="n"/>
    </row>
    <row r="5">
      <c r="A5" s="3" t="n">
        <v>2</v>
      </c>
      <c r="B5" s="2" t="inlineStr">
        <is>
          <t>السقف المشدود (خشب و يشمل الوايرات و التعليق)</t>
        </is>
      </c>
      <c r="C5" s="14" t="n"/>
      <c r="D5" s="14" t="n"/>
      <c r="E5" s="14" t="n"/>
      <c r="F5" s="15" t="n"/>
      <c r="G5" s="4">
        <f>'اعمال النجارة'!G25</f>
        <v/>
      </c>
      <c r="H5" s="3" t="n"/>
    </row>
    <row r="6">
      <c r="A6" s="1" t="n"/>
      <c r="B6" s="5" t="inlineStr">
        <is>
          <t>الإجمالي العام</t>
        </is>
      </c>
      <c r="C6" s="14" t="n"/>
      <c r="D6" s="14" t="n"/>
      <c r="E6" s="14" t="n"/>
      <c r="F6" s="15" t="n"/>
      <c r="G6" s="6">
        <f>G4+G5</f>
        <v/>
      </c>
      <c r="H6" s="1" t="n"/>
    </row>
  </sheetData>
  <mergeCells count="6">
    <mergeCell ref="B4:F4"/>
    <mergeCell ref="B6:F6"/>
    <mergeCell ref="A2:H2"/>
    <mergeCell ref="B3:F3"/>
    <mergeCell ref="B5:F5"/>
    <mergeCell ref="A1:H1"/>
  </mergeCells>
  <printOptions horizontalCentered="1"/>
  <pageMargins left="0.75" right="0.75" top="1" bottom="1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H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43" customWidth="1" min="1" max="1"/>
    <col width="22.29" customWidth="1" min="2" max="2"/>
    <col width="79.70999999999999" customWidth="1" min="3" max="3"/>
    <col width="10.29" customWidth="1" min="4" max="4"/>
    <col width="14.71" customWidth="1" min="5" max="5"/>
    <col width="14.71" customWidth="1" min="6" max="6"/>
    <col width="15.71" customWidth="1" min="7" max="7"/>
    <col width="20.29" customWidth="1" min="8" max="8"/>
  </cols>
  <sheetData>
    <row r="1" ht="27.75" customHeight="1">
      <c r="A1" s="1" t="inlineStr">
        <is>
          <t>الرقم</t>
        </is>
      </c>
      <c r="B1" s="1" t="inlineStr">
        <is>
          <t>البند</t>
        </is>
      </c>
      <c r="C1" s="1" t="inlineStr">
        <is>
          <t>الوصف</t>
        </is>
      </c>
      <c r="D1" s="1" t="inlineStr">
        <is>
          <t>الكمية</t>
        </is>
      </c>
      <c r="E1" s="1" t="inlineStr">
        <is>
          <t>وحدة القياس</t>
        </is>
      </c>
      <c r="F1" s="1" t="inlineStr">
        <is>
          <t>سعر الوحدة</t>
        </is>
      </c>
      <c r="G1" s="1" t="inlineStr">
        <is>
          <t>الإجمالي</t>
        </is>
      </c>
      <c r="H1" s="1" t="inlineStr">
        <is>
          <t>لقطات توضيحية</t>
        </is>
      </c>
    </row>
    <row r="2">
      <c r="A2" s="7" t="n">
        <v>6</v>
      </c>
      <c r="B2" s="7" t="n"/>
      <c r="C2" s="8" t="inlineStr">
        <is>
          <t>اعمال النجارة (مع تركيب الليد فقط)</t>
        </is>
      </c>
      <c r="D2" s="7" t="n"/>
      <c r="E2" s="7" t="n"/>
      <c r="F2" s="7" t="n"/>
      <c r="G2" s="7" t="n"/>
      <c r="H2" s="7" t="n"/>
    </row>
    <row r="3" ht="110" customHeight="1">
      <c r="A3" s="3" t="n">
        <v>1</v>
      </c>
      <c r="B3" s="3" t="inlineStr">
        <is>
          <t>وحدة تلفزيون</t>
        </is>
      </c>
      <c r="C3" s="2" t="inlineStr">
        <is>
          <t>توريد وتركيب وحدة مكتب التلفزيون مع باب سحاب ومكان للمدفأة:
وحدة خشبية لمنطقة التلفزيون بمقاس 500×300 سم (العرض × الارتفاع) بدون المدفأة، مع باب سحاب، وتجهيز فتحة المدفأة حسب المخططات المعتمدة.
لا يشمل البند توريد المدفأة.
يشمل البند جميع أعمال التوريد والتركيب والتثبيت اللازمة لإتمام العمل وفق التصميم المعتمد.</t>
        </is>
      </c>
      <c r="D3" s="9" t="n">
        <v>1</v>
      </c>
      <c r="E3" s="3" t="inlineStr">
        <is>
          <t>عدد</t>
        </is>
      </c>
      <c r="F3" s="10" t="n"/>
      <c r="G3" s="4">
        <f>D3*F3</f>
        <v/>
      </c>
      <c r="H3" s="3" t="n"/>
    </row>
    <row r="4" ht="110" customHeight="1">
      <c r="A4" s="3" t="n">
        <v>2</v>
      </c>
      <c r="B4" s="3" t="inlineStr">
        <is>
          <t>بارتيشن</t>
        </is>
      </c>
      <c r="C4" s="2" t="inlineStr">
        <is>
          <t>توريد وتركيب بارتيشن متحرك:
بارتيشن متحرك بمقاس 240 سم × 300 سم (العرض × الارتفاع) حسب المخططات المعتمدة.
يشمل البند جميع أعمال التوريد والتركيب والتثبيت اللازمة لإتمام العمل وفق التصميم المعتمد.</t>
        </is>
      </c>
      <c r="D4" s="9" t="n">
        <v>1</v>
      </c>
      <c r="E4" s="3" t="inlineStr">
        <is>
          <t>عدد</t>
        </is>
      </c>
      <c r="F4" s="10" t="n"/>
      <c r="G4" s="4">
        <f>D4*F4</f>
        <v/>
      </c>
      <c r="H4" s="3" t="n"/>
    </row>
    <row r="5" ht="110" customHeight="1">
      <c r="A5" s="3" t="n">
        <v>3</v>
      </c>
      <c r="B5" s="3" t="inlineStr">
        <is>
          <t>مكتبة</t>
        </is>
      </c>
      <c r="C5" s="2" t="inlineStr">
        <is>
          <t>توريد وتركيب مكتبة رفوف مع باب مخفي:
مكتبة رفوف بمقاس 400 سم × 300 سم (العرض × الارتفاع) مع باب مخفي مدمج في الرفوف حسب المخططات المعتمدة.
يشمل البند جميع أعمال التوريد والتركيب والتثبيت اللازمة لإتمام العمل وفق التصميم المعتمد.</t>
        </is>
      </c>
      <c r="D5" s="9" t="n">
        <v>1</v>
      </c>
      <c r="E5" s="3" t="inlineStr">
        <is>
          <t>عدد</t>
        </is>
      </c>
      <c r="F5" s="10" t="n"/>
      <c r="G5" s="4">
        <f>D5*F5</f>
        <v/>
      </c>
      <c r="H5" s="3" t="n"/>
    </row>
    <row r="6" ht="110" customHeight="1">
      <c r="A6" s="3" t="n">
        <v>4</v>
      </c>
      <c r="B6" s="3" t="inlineStr">
        <is>
          <t>باب</t>
        </is>
      </c>
      <c r="C6" s="2" t="inlineStr">
        <is>
          <t>توريد وتركيب باب سحاب لمجلس الرجال:
باب سحاب بمقاس 165 سم × 300 سم (العرض × الارتفاع) حسب المخططات المعتمدة.
لا يشمل البند التلبيس (بند مستقل).
يشمل البند جميع أعمال التوريد والتركيب والتثبيت اللازمة لإتمام العمل وفق التصميم المعتمد.</t>
        </is>
      </c>
      <c r="D6" s="9" t="n">
        <v>1</v>
      </c>
      <c r="E6" s="3" t="inlineStr">
        <is>
          <t>عدد</t>
        </is>
      </c>
      <c r="F6" s="10" t="n"/>
      <c r="G6" s="4">
        <f>D6*F6</f>
        <v/>
      </c>
      <c r="H6" s="3" t="n"/>
    </row>
    <row r="7" ht="95" customHeight="1">
      <c r="A7" s="3" t="n">
        <v>5</v>
      </c>
      <c r="B7" s="3" t="inlineStr">
        <is>
          <t>لايت بوكس</t>
        </is>
      </c>
      <c r="C7" s="2" t="inlineStr">
        <is>
          <t>توريد وتركيب لايت بوكس خشبي بأبعاد [العرض×الارتفاع] سم:
[وصف]
يشمل البند الأعمال الخشبية وتركيب الليد فقط دون توريده.</t>
        </is>
      </c>
      <c r="D7" s="9" t="n"/>
      <c r="E7" s="3" t="inlineStr">
        <is>
          <t>عدد</t>
        </is>
      </c>
      <c r="F7" s="10" t="n"/>
      <c r="G7" s="4">
        <f>D7*F7</f>
        <v/>
      </c>
      <c r="H7" s="3" t="n"/>
    </row>
    <row r="8" ht="95" customHeight="1">
      <c r="A8" s="3" t="n">
        <v>6</v>
      </c>
      <c r="B8" s="3" t="inlineStr">
        <is>
          <t>لايت بوكس</t>
        </is>
      </c>
      <c r="C8" s="2" t="inlineStr">
        <is>
          <t>توريد وتركيب لايت بوكس خشبي بأبعاد [العرض×الارتفاع] سم:
[وصف]
يشمل البند الأعمال الخشبية وتركيب الليد فقط دون توريده.</t>
        </is>
      </c>
      <c r="D8" s="9" t="n"/>
      <c r="E8" s="3" t="inlineStr">
        <is>
          <t>عدد</t>
        </is>
      </c>
      <c r="F8" s="10" t="n"/>
      <c r="G8" s="4">
        <f>D8*F8</f>
        <v/>
      </c>
      <c r="H8" s="3" t="n"/>
    </row>
    <row r="9" ht="95" customHeight="1">
      <c r="A9" s="3" t="n">
        <v>7</v>
      </c>
      <c r="B9" s="3" t="inlineStr">
        <is>
          <t>وحدة خدمة</t>
        </is>
      </c>
      <c r="C9" s="2" t="inlineStr">
        <is>
          <t>توريد وتركيب وحدة خدمة [الكود]:
[وصف الخامة والتشطيب والأبعاد]
يشمل البند جميع أعمال التوريد والتركيب والتثبيت.</t>
        </is>
      </c>
      <c r="D9" s="9" t="n"/>
      <c r="E9" s="3" t="inlineStr">
        <is>
          <t>عدد</t>
        </is>
      </c>
      <c r="F9" s="10" t="n"/>
      <c r="G9" s="4">
        <f>D9*F9</f>
        <v/>
      </c>
      <c r="H9" s="3" t="n"/>
    </row>
    <row r="10" ht="95" customHeight="1">
      <c r="A10" s="3" t="n">
        <v>8</v>
      </c>
      <c r="B10" s="3" t="inlineStr">
        <is>
          <t>وحدة خدمة</t>
        </is>
      </c>
      <c r="C10" s="2" t="inlineStr">
        <is>
          <t>توريد وتركيب وحدة خدمة [الكود]:
[وصف الخامة والتشطيب والأبعاد]
يشمل البند جميع أعمال التوريد والتركيب والتثبيت.</t>
        </is>
      </c>
      <c r="D10" s="9" t="n"/>
      <c r="E10" s="3" t="inlineStr">
        <is>
          <t>عدد</t>
        </is>
      </c>
      <c r="F10" s="10" t="n"/>
      <c r="G10" s="4">
        <f>D10*F10</f>
        <v/>
      </c>
      <c r="H10" s="3" t="n"/>
    </row>
    <row r="11" ht="95" customHeight="1">
      <c r="A11" s="3" t="n">
        <v>9</v>
      </c>
      <c r="B11" s="3" t="inlineStr">
        <is>
          <t>وحدة خدمة</t>
        </is>
      </c>
      <c r="C11" s="2" t="inlineStr">
        <is>
          <t>توريد وتركيب وحدة خدمة [الكود]:
[وصف الخامة والتشطيب والأبعاد]
يشمل البند جميع أعمال التوريد والتركيب والتثبيت.</t>
        </is>
      </c>
      <c r="D11" s="9" t="n"/>
      <c r="E11" s="3" t="inlineStr">
        <is>
          <t>عدد</t>
        </is>
      </c>
      <c r="F11" s="10" t="n"/>
      <c r="G11" s="4">
        <f>D11*F11</f>
        <v/>
      </c>
      <c r="H11" s="3" t="n"/>
    </row>
    <row r="12" ht="95" customHeight="1">
      <c r="A12" s="3" t="n">
        <v>10</v>
      </c>
      <c r="B12" s="3" t="inlineStr">
        <is>
          <t>وحدة عرض</t>
        </is>
      </c>
      <c r="C12" s="2" t="inlineStr">
        <is>
          <t>توريد وتركيب وحدات جدارية [وصف]
لا يشمل البند توريد الليد، ويشمل تركيبه فقط.</t>
        </is>
      </c>
      <c r="D12" s="9" t="n"/>
      <c r="E12" s="3" t="inlineStr">
        <is>
          <t>متر مربع</t>
        </is>
      </c>
      <c r="F12" s="10" t="n"/>
      <c r="G12" s="4">
        <f>D12*F12</f>
        <v/>
      </c>
      <c r="H12" s="3" t="n"/>
    </row>
    <row r="13" ht="95" customHeight="1">
      <c r="A13" s="3" t="n">
        <v>11</v>
      </c>
      <c r="B13" s="3" t="inlineStr"/>
      <c r="C13" s="2" t="inlineStr"/>
      <c r="D13" s="9" t="n"/>
      <c r="E13" s="3" t="inlineStr">
        <is>
          <t>عدد</t>
        </is>
      </c>
      <c r="F13" s="10" t="n"/>
      <c r="G13" s="4">
        <f>D13*F13</f>
        <v/>
      </c>
      <c r="H13" s="3" t="n"/>
    </row>
    <row r="14" ht="95" customHeight="1">
      <c r="A14" s="3" t="n">
        <v>12</v>
      </c>
      <c r="B14" s="3" t="inlineStr"/>
      <c r="C14" s="2" t="inlineStr"/>
      <c r="D14" s="9" t="n"/>
      <c r="E14" s="3" t="inlineStr">
        <is>
          <t>عدد</t>
        </is>
      </c>
      <c r="F14" s="10" t="n"/>
      <c r="G14" s="4">
        <f>D14*F14</f>
        <v/>
      </c>
      <c r="H14" s="3" t="n"/>
    </row>
    <row r="15" ht="95" customHeight="1">
      <c r="A15" s="3" t="n">
        <v>13</v>
      </c>
      <c r="B15" s="3" t="inlineStr"/>
      <c r="C15" s="2" t="inlineStr"/>
      <c r="D15" s="9" t="n"/>
      <c r="E15" s="3" t="inlineStr">
        <is>
          <t>عدد</t>
        </is>
      </c>
      <c r="F15" s="10" t="n"/>
      <c r="G15" s="4">
        <f>D15*F15</f>
        <v/>
      </c>
      <c r="H15" s="3" t="n"/>
    </row>
    <row r="16" ht="95" customHeight="1">
      <c r="A16" s="3" t="n">
        <v>14</v>
      </c>
      <c r="B16" s="3" t="inlineStr"/>
      <c r="C16" s="2" t="inlineStr"/>
      <c r="D16" s="9" t="n"/>
      <c r="E16" s="3" t="inlineStr">
        <is>
          <t>عدد</t>
        </is>
      </c>
      <c r="F16" s="10" t="n"/>
      <c r="G16" s="4">
        <f>D16*F16</f>
        <v/>
      </c>
      <c r="H16" s="3" t="n"/>
    </row>
    <row r="17" ht="95" customHeight="1">
      <c r="A17" s="3" t="n">
        <v>15</v>
      </c>
      <c r="B17" s="3" t="inlineStr"/>
      <c r="C17" s="2" t="inlineStr"/>
      <c r="D17" s="9" t="n"/>
      <c r="E17" s="3" t="inlineStr">
        <is>
          <t>عدد</t>
        </is>
      </c>
      <c r="F17" s="10" t="n"/>
      <c r="G17" s="4">
        <f>D17*F17</f>
        <v/>
      </c>
      <c r="H17" s="3" t="n"/>
    </row>
    <row r="18" ht="95" customHeight="1">
      <c r="A18" s="3" t="n">
        <v>16</v>
      </c>
      <c r="B18" s="3" t="inlineStr"/>
      <c r="C18" s="2" t="inlineStr"/>
      <c r="D18" s="9" t="n"/>
      <c r="E18" s="3" t="inlineStr">
        <is>
          <t>عدد</t>
        </is>
      </c>
      <c r="F18" s="10" t="n"/>
      <c r="G18" s="4">
        <f>D18*F18</f>
        <v/>
      </c>
      <c r="H18" s="3" t="n"/>
    </row>
    <row r="19">
      <c r="A19" s="11" t="n"/>
      <c r="B19" s="11" t="n"/>
      <c r="C19" s="12" t="inlineStr">
        <is>
          <t>الإجمالي</t>
        </is>
      </c>
      <c r="D19" s="11" t="n"/>
      <c r="E19" s="11" t="n"/>
      <c r="F19" s="11" t="n"/>
      <c r="G19" s="13">
        <f>SUM(G3:G18)</f>
        <v/>
      </c>
      <c r="H19" s="11" t="n"/>
    </row>
    <row r="20">
      <c r="A20" s="7" t="n">
        <v>7</v>
      </c>
      <c r="B20" s="7" t="n"/>
      <c r="C20" s="8" t="inlineStr">
        <is>
          <t>السقف المشدود (خشب و يشمل الوايرات و التعليق)</t>
        </is>
      </c>
      <c r="D20" s="7" t="n"/>
      <c r="E20" s="7" t="n"/>
      <c r="F20" s="7" t="n"/>
      <c r="G20" s="7" t="n"/>
      <c r="H20" s="7" t="n"/>
    </row>
    <row r="21" ht="95" customHeight="1">
      <c r="A21" s="3" t="n">
        <v>1</v>
      </c>
      <c r="B21" s="3" t="inlineStr">
        <is>
          <t>سقف مشدود</t>
        </is>
      </c>
      <c r="C21" s="2" t="inlineStr">
        <is>
          <t>توريد وتركيب سقف مشدود بأبعاد [العرض×الطول] سم:
يتكوّن من صناديق خشبية معلّقة في السقف بأوتار معدنية، مع إضاءة وفق المخططات المعتمدة.
يشمل البند الأعمال الخشبية والوايرات مع التعليق.</t>
        </is>
      </c>
      <c r="D21" s="9" t="n"/>
      <c r="E21" s="3" t="inlineStr">
        <is>
          <t>عدد</t>
        </is>
      </c>
      <c r="F21" s="10" t="n"/>
      <c r="G21" s="4">
        <f>D21*F21</f>
        <v/>
      </c>
      <c r="H21" s="3" t="n"/>
    </row>
    <row r="22" ht="95" customHeight="1">
      <c r="A22" s="3" t="n">
        <v>2</v>
      </c>
      <c r="B22" s="3" t="inlineStr">
        <is>
          <t>سقف مشدود</t>
        </is>
      </c>
      <c r="C22" s="2" t="inlineStr">
        <is>
          <t>توريد وتركيب سقف مشدود بأبعاد [العرض×الطول] سم:
يتكوّن من صناديق خشبية معلّقة في السقف بأوتار معدنية، مع إضاءة وفق المخططات المعتمدة.
يشمل البند الأعمال الخشبية والوايرات مع التعليق.</t>
        </is>
      </c>
      <c r="D22" s="9" t="n"/>
      <c r="E22" s="3" t="inlineStr">
        <is>
          <t>عدد</t>
        </is>
      </c>
      <c r="F22" s="10" t="n"/>
      <c r="G22" s="4">
        <f>D22*F22</f>
        <v/>
      </c>
      <c r="H22" s="3" t="n"/>
    </row>
    <row r="23" ht="95" customHeight="1">
      <c r="A23" s="3" t="n">
        <v>3</v>
      </c>
      <c r="B23" s="3" t="inlineStr">
        <is>
          <t>سقف مشدود</t>
        </is>
      </c>
      <c r="C23" s="2" t="inlineStr">
        <is>
          <t>توريد وتركيب سقف مشدود بأبعاد [العرض×الطول] سم:
يتكوّن من صناديق خشبية معلّقة في السقف بأوتار معدنية، مع إضاءة وفق المخططات المعتمدة.
يشمل البند الأعمال الخشبية والوايرات مع التعليق.</t>
        </is>
      </c>
      <c r="D23" s="9" t="n"/>
      <c r="E23" s="3" t="inlineStr">
        <is>
          <t>عدد</t>
        </is>
      </c>
      <c r="F23" s="10" t="n"/>
      <c r="G23" s="4">
        <f>D23*F23</f>
        <v/>
      </c>
      <c r="H23" s="3" t="n"/>
    </row>
    <row r="24" ht="95" customHeight="1">
      <c r="A24" s="3" t="n">
        <v>4</v>
      </c>
      <c r="B24" s="3" t="inlineStr">
        <is>
          <t>سقف مشدود</t>
        </is>
      </c>
      <c r="C24" s="2" t="inlineStr">
        <is>
          <t>توريد وتركيب سقف مشدود بأبعاد [العرض×الطول] سم:
يتكوّن من صناديق خشبية معلّقة في السقف بأوتار معدنية، مع إضاءة وفق المخططات المعتمدة.
يشمل البند الأعمال الخشبية والوايرات مع التعليق.</t>
        </is>
      </c>
      <c r="D24" s="9" t="n"/>
      <c r="E24" s="3" t="inlineStr">
        <is>
          <t>عدد</t>
        </is>
      </c>
      <c r="F24" s="10" t="n"/>
      <c r="G24" s="4">
        <f>D24*F24</f>
        <v/>
      </c>
      <c r="H24" s="3" t="n"/>
    </row>
    <row r="25">
      <c r="A25" s="11" t="n"/>
      <c r="B25" s="11" t="n"/>
      <c r="C25" s="12" t="inlineStr">
        <is>
          <t>الإجمالي</t>
        </is>
      </c>
      <c r="D25" s="11" t="n"/>
      <c r="E25" s="11" t="n"/>
      <c r="F25" s="11" t="n"/>
      <c r="G25" s="13">
        <f>SUM(G21:G24)</f>
        <v/>
      </c>
      <c r="H25" s="11" t="n"/>
    </row>
    <row r="26">
      <c r="A26" s="1" t="n"/>
      <c r="B26" s="1" t="n"/>
      <c r="C26" s="5" t="inlineStr">
        <is>
          <t>الإجمالي العام</t>
        </is>
      </c>
      <c r="D26" s="1" t="n"/>
      <c r="E26" s="1" t="n"/>
      <c r="F26" s="1" t="n"/>
      <c r="G26" s="6">
        <f>G19+G25</f>
        <v/>
      </c>
      <c r="H26" s="1" t="n"/>
    </row>
  </sheetData>
  <printOptions horizontalCentered="1"/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2026-10-31T14:58:16Z</dcterms:created>
  <dcterms:modified xmlns:dcterms="http://purl.org/dc/terms/" xmlns:xsi="http://www.w3.org/2001/XMLSchema-instance" xsi:type="dcterms:W3CDTF">2026-10-31T15:00:09Z</dcterms:modified>
</cp:coreProperties>
</file>